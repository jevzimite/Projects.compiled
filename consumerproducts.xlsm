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jevz/Desktop/R/"/>
    </mc:Choice>
  </mc:AlternateContent>
  <xr:revisionPtr revIDLastSave="0" documentId="13_ncr:1_{FABFE6C2-42D7-8642-A212-C54AC440362E}" xr6:coauthVersionLast="45" xr6:coauthVersionMax="45" xr10:uidLastSave="{00000000-0000-0000-0000-000000000000}"/>
  <bookViews>
    <workbookView xWindow="0" yWindow="0" windowWidth="28800" windowHeight="18000" firstSheet="1" activeTab="1" xr2:uid="{00000000-000D-0000-FFFF-FFFF00000000}"/>
  </bookViews>
  <sheets>
    <sheet name="Ranked by Size" sheetId="1" r:id="rId1"/>
    <sheet name="Ranked by Profits" sheetId="2" r:id="rId2"/>
    <sheet name="Ranked by Profit % of Revenues" sheetId="3" r:id="rId3"/>
    <sheet name="By Category with Subtotals" sheetId="4" r:id="rId4"/>
    <sheet name="Alphabetical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0" i="5" l="1"/>
  <c r="D5" i="5"/>
  <c r="D37" i="5"/>
  <c r="D23" i="5"/>
  <c r="D16" i="5"/>
  <c r="D14" i="5"/>
  <c r="D21" i="5"/>
  <c r="D15" i="5"/>
  <c r="D24" i="5"/>
  <c r="D8" i="5"/>
  <c r="D22" i="5"/>
  <c r="D9" i="5"/>
  <c r="D18" i="5"/>
  <c r="D6" i="5"/>
  <c r="D36" i="5"/>
  <c r="D26" i="5"/>
  <c r="D29" i="5"/>
  <c r="D13" i="5"/>
  <c r="D12" i="5"/>
  <c r="D19" i="5"/>
  <c r="D27" i="5"/>
  <c r="D3" i="5"/>
  <c r="D7" i="5"/>
  <c r="D17" i="5"/>
  <c r="D4" i="5"/>
  <c r="D2" i="5"/>
  <c r="D31" i="5"/>
  <c r="D28" i="5"/>
  <c r="D34" i="5"/>
  <c r="D20" i="5"/>
  <c r="D30" i="5"/>
  <c r="D11" i="5"/>
  <c r="D33" i="5"/>
  <c r="D32" i="5"/>
  <c r="D35" i="5"/>
  <c r="D25" i="5"/>
  <c r="C42" i="4"/>
  <c r="D42" i="4" s="1"/>
  <c r="B42" i="4"/>
  <c r="C38" i="4"/>
  <c r="D38" i="4" s="1"/>
  <c r="B38" i="4"/>
  <c r="C27" i="4"/>
  <c r="D27" i="4" s="1"/>
  <c r="B27" i="4"/>
  <c r="C19" i="4"/>
  <c r="D19" i="4" s="1"/>
  <c r="B19" i="4"/>
  <c r="C5" i="4"/>
  <c r="D5" i="4" s="1"/>
  <c r="B5" i="4"/>
  <c r="B45" i="4" s="1"/>
  <c r="D26" i="4"/>
  <c r="D25" i="4"/>
  <c r="D18" i="4"/>
  <c r="D24" i="4"/>
  <c r="D4" i="4"/>
  <c r="D3" i="4"/>
  <c r="D17" i="4"/>
  <c r="D16" i="4"/>
  <c r="D15" i="4"/>
  <c r="D14" i="4"/>
  <c r="D13" i="4"/>
  <c r="D37" i="4"/>
  <c r="D23" i="4"/>
  <c r="D36" i="4"/>
  <c r="D41" i="4"/>
  <c r="D12" i="4"/>
  <c r="D11" i="4"/>
  <c r="D10" i="4"/>
  <c r="D22" i="4"/>
  <c r="D9" i="4"/>
  <c r="D21" i="4"/>
  <c r="D40" i="4"/>
  <c r="D35" i="4"/>
  <c r="D34" i="4"/>
  <c r="D33" i="4"/>
  <c r="D32" i="4"/>
  <c r="D8" i="4"/>
  <c r="D7" i="4"/>
  <c r="D39" i="4"/>
  <c r="D31" i="4"/>
  <c r="D30" i="4"/>
  <c r="D2" i="4"/>
  <c r="D29" i="4"/>
  <c r="D6" i="4"/>
  <c r="D20" i="4"/>
  <c r="D28" i="4"/>
  <c r="D37" i="3"/>
  <c r="D36" i="3"/>
  <c r="D35" i="3"/>
  <c r="D34" i="3"/>
  <c r="D33" i="3"/>
  <c r="D32" i="3"/>
  <c r="D29" i="3"/>
  <c r="D21" i="3"/>
  <c r="D28" i="3"/>
  <c r="D31" i="3"/>
  <c r="D26" i="3"/>
  <c r="D18" i="3"/>
  <c r="D27" i="3"/>
  <c r="D12" i="3"/>
  <c r="D24" i="3"/>
  <c r="D30" i="3"/>
  <c r="D22" i="3"/>
  <c r="D11" i="3"/>
  <c r="D20" i="3"/>
  <c r="D13" i="3"/>
  <c r="D19" i="3"/>
  <c r="D16" i="3"/>
  <c r="D6" i="3"/>
  <c r="D25" i="3"/>
  <c r="D10" i="3"/>
  <c r="D9" i="3"/>
  <c r="D3" i="3"/>
  <c r="D23" i="3"/>
  <c r="D14" i="3"/>
  <c r="D7" i="3"/>
  <c r="D17" i="3"/>
  <c r="D5" i="3"/>
  <c r="D15" i="3"/>
  <c r="D4" i="3"/>
  <c r="D2" i="3"/>
  <c r="D8" i="3"/>
  <c r="D30" i="2"/>
  <c r="D34" i="2"/>
  <c r="D36" i="2"/>
  <c r="D35" i="2"/>
  <c r="D26" i="2"/>
  <c r="D24" i="2"/>
  <c r="D27" i="2"/>
  <c r="D33" i="2"/>
  <c r="D29" i="2"/>
  <c r="D31" i="2"/>
  <c r="D25" i="2"/>
  <c r="D20" i="2"/>
  <c r="D23" i="2"/>
  <c r="D15" i="2"/>
  <c r="D11" i="2"/>
  <c r="D28" i="2"/>
  <c r="D32" i="2"/>
  <c r="D37" i="2"/>
  <c r="D18" i="2"/>
  <c r="D21" i="2"/>
  <c r="D19" i="2"/>
  <c r="D3" i="2"/>
  <c r="D13" i="2"/>
  <c r="D17" i="2"/>
  <c r="D6" i="2"/>
  <c r="D12" i="2"/>
  <c r="D22" i="2"/>
  <c r="D16" i="2"/>
  <c r="D8" i="2"/>
  <c r="D4" i="2"/>
  <c r="D14" i="2"/>
  <c r="D9" i="2"/>
  <c r="D7" i="2"/>
  <c r="D10" i="2"/>
  <c r="D5" i="2"/>
  <c r="D2" i="2"/>
  <c r="D23" i="1"/>
  <c r="D16" i="1"/>
  <c r="D9" i="1"/>
  <c r="D26" i="1"/>
  <c r="D24" i="1"/>
  <c r="D15" i="1"/>
  <c r="D14" i="1"/>
  <c r="D13" i="1"/>
  <c r="D12" i="1"/>
  <c r="D8" i="1"/>
  <c r="D7" i="1"/>
  <c r="D5" i="1"/>
  <c r="D2" i="1"/>
  <c r="D37" i="1"/>
  <c r="D36" i="1"/>
  <c r="D34" i="1"/>
  <c r="D25" i="1"/>
  <c r="D19" i="1"/>
  <c r="D17" i="1"/>
  <c r="D3" i="1"/>
  <c r="D35" i="1"/>
  <c r="D31" i="1"/>
  <c r="D30" i="1"/>
  <c r="D29" i="1"/>
  <c r="D28" i="1"/>
  <c r="D27" i="1"/>
  <c r="D22" i="1"/>
  <c r="D21" i="1"/>
  <c r="D20" i="1"/>
  <c r="D18" i="1"/>
  <c r="D11" i="1"/>
  <c r="D10" i="1"/>
  <c r="D4" i="1"/>
  <c r="D33" i="1"/>
  <c r="D32" i="1"/>
  <c r="D6" i="1"/>
  <c r="C45" i="4" l="1"/>
  <c r="D45" i="4" s="1"/>
</calcChain>
</file>

<file path=xl/sharedStrings.xml><?xml version="1.0" encoding="utf-8"?>
<sst xmlns="http://schemas.openxmlformats.org/spreadsheetml/2006/main" count="391" uniqueCount="54">
  <si>
    <t>Company</t>
  </si>
  <si>
    <t>Revenues ($MM)</t>
  </si>
  <si>
    <t>Profit ($MM)</t>
  </si>
  <si>
    <t>Profit as % of Revenues</t>
  </si>
  <si>
    <t>Category</t>
  </si>
  <si>
    <t>Beverages</t>
  </si>
  <si>
    <t>Coca-Cola</t>
  </si>
  <si>
    <t>Constellation Brands</t>
  </si>
  <si>
    <t>Dr. Pepper Snapple Group</t>
  </si>
  <si>
    <t>Food</t>
  </si>
  <si>
    <t>Pepsico</t>
  </si>
  <si>
    <t>Kraft Heinz</t>
  </si>
  <si>
    <t>Mondelez International</t>
  </si>
  <si>
    <t>General Mills</t>
  </si>
  <si>
    <t>Conagra Brands</t>
  </si>
  <si>
    <t>Land O'Lakes</t>
  </si>
  <si>
    <t>Kellogg</t>
  </si>
  <si>
    <t>Hormel Foods</t>
  </si>
  <si>
    <t>Campbell Soup</t>
  </si>
  <si>
    <t>J. M. Smucker</t>
  </si>
  <si>
    <t>Dean Foods</t>
  </si>
  <si>
    <t>Hershey</t>
  </si>
  <si>
    <t>Treehouse Foods</t>
  </si>
  <si>
    <t>Household &amp; Personal Products</t>
  </si>
  <si>
    <t>Procter &amp; Gamble</t>
  </si>
  <si>
    <t>Kimberly-Clark</t>
  </si>
  <si>
    <t>Colgate-Palmolive</t>
  </si>
  <si>
    <t>Estee Lauder</t>
  </si>
  <si>
    <t>HRG Group</t>
  </si>
  <si>
    <t>Avon Products</t>
  </si>
  <si>
    <t>Clorox</t>
  </si>
  <si>
    <t>Pharmaceuticals</t>
  </si>
  <si>
    <t>Johnson &amp; Johnson</t>
  </si>
  <si>
    <t>Pfizer</t>
  </si>
  <si>
    <t>Merck</t>
  </si>
  <si>
    <t>Gilead Sciences</t>
  </si>
  <si>
    <t>Abbvie</t>
  </si>
  <si>
    <t>Amgen</t>
  </si>
  <si>
    <t>Eli Lilly</t>
  </si>
  <si>
    <t>Bristol-Myers Squibb</t>
  </si>
  <si>
    <t>Biogen</t>
  </si>
  <si>
    <t>Celgene</t>
  </si>
  <si>
    <t>Tobacco</t>
  </si>
  <si>
    <t>Philip Morris International</t>
  </si>
  <si>
    <t>Altria Group</t>
  </si>
  <si>
    <t>Reynolds American</t>
  </si>
  <si>
    <t>Beverages Total</t>
  </si>
  <si>
    <t>Food Total</t>
  </si>
  <si>
    <t>Household &amp; Personal Products Total</t>
  </si>
  <si>
    <t>Pharmaceuticals Total</t>
  </si>
  <si>
    <t>Tobacco Total</t>
  </si>
  <si>
    <t>Grand Total</t>
  </si>
  <si>
    <t>Profit</t>
  </si>
  <si>
    <t>Revenue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</si>
</sst>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0.0%"/>
    <numFmt numFmtId="165" formatCode="_(&quot;$&quot;* #,##0_);_(&quot;$&quot;* \(#,##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164" fontId="0" fillId="0" borderId="0" xfId="2" applyNumberFormat="1" applyFont="1" applyAlignment="1">
      <alignment horizontal="right"/>
    </xf>
    <xf numFmtId="165" fontId="0" fillId="0" borderId="0" xfId="1" applyNumberFormat="1" applyFont="1" applyAlignment="1">
      <alignment horizontal="right"/>
    </xf>
    <xf numFmtId="0" fontId="2" fillId="0" borderId="0" xfId="0" applyFont="1" applyAlignment="1">
      <alignment horizontal="left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E37"/>
  <sheetViews>
    <sheetView workbookViewId="0">
      <selection sqref="A1:XFD1048576"/>
    </sheetView>
  </sheetViews>
  <sheetFormatPr baseColWidth="10" defaultColWidth="8.83203125" defaultRowHeight="15" x14ac:dyDescent="0.2"/>
  <cols>
    <col min="1" max="1" width="27.1640625" style="1" customWidth="1"/>
    <col min="2" max="2" width="24.5" style="4" customWidth="1"/>
    <col min="3" max="3" width="21.5" style="4" customWidth="1"/>
    <col min="4" max="4" width="25" style="2" customWidth="1"/>
    <col min="5" max="5" width="32.33203125" style="1" customWidth="1"/>
  </cols>
  <sheetData>
    <row r="1" spans="1:5" x14ac:dyDescent="0.2">
      <c r="A1" s="1" t="s">
        <v>0</v>
      </c>
      <c r="B1" s="4" t="s">
        <v>1</v>
      </c>
      <c r="C1" s="4" t="s">
        <v>2</v>
      </c>
      <c r="D1" s="2" t="s">
        <v>3</v>
      </c>
      <c r="E1" s="1" t="s">
        <v>4</v>
      </c>
    </row>
    <row r="2" spans="1:5" x14ac:dyDescent="0.2">
      <c r="A2" s="1" t="s">
        <v>32</v>
      </c>
      <c r="B2" s="4">
        <v>71890</v>
      </c>
      <c r="C2" s="4">
        <v>18540</v>
      </c>
      <c r="D2" s="3">
        <f t="shared" ref="D2:D37" si="0">+C2/B2</f>
        <v>0.25789400472944779</v>
      </c>
      <c r="E2" s="1" t="s">
        <v>31</v>
      </c>
    </row>
    <row r="3" spans="1:5" x14ac:dyDescent="0.2">
      <c r="A3" s="1" t="s">
        <v>24</v>
      </c>
      <c r="B3" s="4">
        <v>71726</v>
      </c>
      <c r="C3" s="4">
        <v>10508</v>
      </c>
      <c r="D3" s="3">
        <f t="shared" si="0"/>
        <v>0.14650196581434904</v>
      </c>
      <c r="E3" s="1" t="s">
        <v>23</v>
      </c>
    </row>
    <row r="4" spans="1:5" x14ac:dyDescent="0.2">
      <c r="A4" s="1" t="s">
        <v>10</v>
      </c>
      <c r="B4" s="4">
        <v>62789</v>
      </c>
      <c r="C4" s="4">
        <v>6329</v>
      </c>
      <c r="D4" s="3">
        <f t="shared" si="0"/>
        <v>0.1007979104620236</v>
      </c>
      <c r="E4" s="1" t="s">
        <v>9</v>
      </c>
    </row>
    <row r="5" spans="1:5" x14ac:dyDescent="0.2">
      <c r="A5" s="1" t="s">
        <v>33</v>
      </c>
      <c r="B5" s="4">
        <v>52824</v>
      </c>
      <c r="C5" s="4">
        <v>7215</v>
      </c>
      <c r="D5" s="3">
        <f t="shared" si="0"/>
        <v>0.13658564288959563</v>
      </c>
      <c r="E5" s="1" t="s">
        <v>31</v>
      </c>
    </row>
    <row r="6" spans="1:5" x14ac:dyDescent="0.2">
      <c r="A6" s="1" t="s">
        <v>6</v>
      </c>
      <c r="B6" s="4">
        <v>41863</v>
      </c>
      <c r="C6" s="4">
        <v>6527</v>
      </c>
      <c r="D6" s="3">
        <f t="shared" si="0"/>
        <v>0.15591333635907603</v>
      </c>
      <c r="E6" s="1" t="s">
        <v>5</v>
      </c>
    </row>
    <row r="7" spans="1:5" x14ac:dyDescent="0.2">
      <c r="A7" s="1" t="s">
        <v>34</v>
      </c>
      <c r="B7" s="4">
        <v>39807</v>
      </c>
      <c r="C7" s="4">
        <v>3920</v>
      </c>
      <c r="D7" s="3">
        <f t="shared" si="0"/>
        <v>9.8475142562865825E-2</v>
      </c>
      <c r="E7" s="1" t="s">
        <v>31</v>
      </c>
    </row>
    <row r="8" spans="1:5" x14ac:dyDescent="0.2">
      <c r="A8" s="1" t="s">
        <v>35</v>
      </c>
      <c r="B8" s="4">
        <v>30390</v>
      </c>
      <c r="C8" s="4">
        <v>13501</v>
      </c>
      <c r="D8" s="3">
        <f t="shared" si="0"/>
        <v>0.44425797959855218</v>
      </c>
      <c r="E8" s="1" t="s">
        <v>31</v>
      </c>
    </row>
    <row r="9" spans="1:5" x14ac:dyDescent="0.2">
      <c r="A9" s="1" t="s">
        <v>43</v>
      </c>
      <c r="B9" s="4">
        <v>26685</v>
      </c>
      <c r="C9" s="4">
        <v>6967</v>
      </c>
      <c r="D9" s="3">
        <f t="shared" si="0"/>
        <v>0.26108300543376428</v>
      </c>
      <c r="E9" s="1" t="s">
        <v>42</v>
      </c>
    </row>
    <row r="10" spans="1:5" x14ac:dyDescent="0.2">
      <c r="A10" s="1" t="s">
        <v>11</v>
      </c>
      <c r="B10" s="4">
        <v>26487</v>
      </c>
      <c r="C10" s="4">
        <v>3632</v>
      </c>
      <c r="D10" s="3">
        <f t="shared" si="0"/>
        <v>0.13712387208819421</v>
      </c>
      <c r="E10" s="1" t="s">
        <v>9</v>
      </c>
    </row>
    <row r="11" spans="1:5" x14ac:dyDescent="0.2">
      <c r="A11" s="1" t="s">
        <v>12</v>
      </c>
      <c r="B11" s="4">
        <v>25923</v>
      </c>
      <c r="C11" s="4">
        <v>1659</v>
      </c>
      <c r="D11" s="3">
        <f t="shared" si="0"/>
        <v>6.3997222543687074E-2</v>
      </c>
      <c r="E11" s="1" t="s">
        <v>9</v>
      </c>
    </row>
    <row r="12" spans="1:5" x14ac:dyDescent="0.2">
      <c r="A12" s="1" t="s">
        <v>36</v>
      </c>
      <c r="B12" s="4">
        <v>25638</v>
      </c>
      <c r="C12" s="4">
        <v>5953</v>
      </c>
      <c r="D12" s="3">
        <f t="shared" si="0"/>
        <v>0.23219439893907481</v>
      </c>
      <c r="E12" s="1" t="s">
        <v>31</v>
      </c>
    </row>
    <row r="13" spans="1:5" x14ac:dyDescent="0.2">
      <c r="A13" s="1" t="s">
        <v>37</v>
      </c>
      <c r="B13" s="4">
        <v>22991</v>
      </c>
      <c r="C13" s="4">
        <v>7722</v>
      </c>
      <c r="D13" s="3">
        <f t="shared" si="0"/>
        <v>0.33587055804445215</v>
      </c>
      <c r="E13" s="1" t="s">
        <v>31</v>
      </c>
    </row>
    <row r="14" spans="1:5" x14ac:dyDescent="0.2">
      <c r="A14" s="1" t="s">
        <v>38</v>
      </c>
      <c r="B14" s="4">
        <v>21222</v>
      </c>
      <c r="C14" s="4">
        <v>2738</v>
      </c>
      <c r="D14" s="3">
        <f t="shared" si="0"/>
        <v>0.12901705777023842</v>
      </c>
      <c r="E14" s="1" t="s">
        <v>31</v>
      </c>
    </row>
    <row r="15" spans="1:5" x14ac:dyDescent="0.2">
      <c r="A15" s="1" t="s">
        <v>39</v>
      </c>
      <c r="B15" s="4">
        <v>19427</v>
      </c>
      <c r="C15" s="4">
        <v>4457</v>
      </c>
      <c r="D15" s="3">
        <f t="shared" si="0"/>
        <v>0.22942296803417925</v>
      </c>
      <c r="E15" s="1" t="s">
        <v>31</v>
      </c>
    </row>
    <row r="16" spans="1:5" x14ac:dyDescent="0.2">
      <c r="A16" s="1" t="s">
        <v>44</v>
      </c>
      <c r="B16" s="4">
        <v>19337</v>
      </c>
      <c r="C16" s="4">
        <v>14239</v>
      </c>
      <c r="D16" s="3">
        <f t="shared" si="0"/>
        <v>0.73636034545172468</v>
      </c>
      <c r="E16" s="1" t="s">
        <v>42</v>
      </c>
    </row>
    <row r="17" spans="1:5" x14ac:dyDescent="0.2">
      <c r="A17" s="1" t="s">
        <v>25</v>
      </c>
      <c r="B17" s="4">
        <v>18202</v>
      </c>
      <c r="C17" s="4">
        <v>2166</v>
      </c>
      <c r="D17" s="3">
        <f t="shared" si="0"/>
        <v>0.11899791231732777</v>
      </c>
      <c r="E17" s="1" t="s">
        <v>23</v>
      </c>
    </row>
    <row r="18" spans="1:5" x14ac:dyDescent="0.2">
      <c r="A18" s="1" t="s">
        <v>13</v>
      </c>
      <c r="B18" s="4">
        <v>16563</v>
      </c>
      <c r="C18" s="4">
        <v>1697</v>
      </c>
      <c r="D18" s="3">
        <f t="shared" si="0"/>
        <v>0.10245728430839823</v>
      </c>
      <c r="E18" s="1" t="s">
        <v>9</v>
      </c>
    </row>
    <row r="19" spans="1:5" x14ac:dyDescent="0.2">
      <c r="A19" s="1" t="s">
        <v>26</v>
      </c>
      <c r="B19" s="4">
        <v>15195</v>
      </c>
      <c r="C19" s="4">
        <v>2441</v>
      </c>
      <c r="D19" s="3">
        <f t="shared" si="0"/>
        <v>0.16064494899638038</v>
      </c>
      <c r="E19" s="1" t="s">
        <v>23</v>
      </c>
    </row>
    <row r="20" spans="1:5" x14ac:dyDescent="0.2">
      <c r="A20" s="1" t="s">
        <v>14</v>
      </c>
      <c r="B20" s="4">
        <v>14134</v>
      </c>
      <c r="C20" s="4">
        <v>-677</v>
      </c>
      <c r="D20" s="3">
        <f t="shared" si="0"/>
        <v>-4.7898684024338473E-2</v>
      </c>
      <c r="E20" s="1" t="s">
        <v>9</v>
      </c>
    </row>
    <row r="21" spans="1:5" x14ac:dyDescent="0.2">
      <c r="A21" s="1" t="s">
        <v>15</v>
      </c>
      <c r="B21" s="4">
        <v>13233</v>
      </c>
      <c r="C21" s="4">
        <v>245</v>
      </c>
      <c r="D21" s="3">
        <f t="shared" si="0"/>
        <v>1.8514320259956168E-2</v>
      </c>
      <c r="E21" s="1" t="s">
        <v>9</v>
      </c>
    </row>
    <row r="22" spans="1:5" x14ac:dyDescent="0.2">
      <c r="A22" s="1" t="s">
        <v>16</v>
      </c>
      <c r="B22" s="4">
        <v>13014</v>
      </c>
      <c r="C22" s="4">
        <v>694</v>
      </c>
      <c r="D22" s="3">
        <f t="shared" si="0"/>
        <v>5.3327186107269095E-2</v>
      </c>
      <c r="E22" s="1" t="s">
        <v>9</v>
      </c>
    </row>
    <row r="23" spans="1:5" x14ac:dyDescent="0.2">
      <c r="A23" s="1" t="s">
        <v>45</v>
      </c>
      <c r="B23" s="4">
        <v>12503</v>
      </c>
      <c r="C23" s="4">
        <v>6073</v>
      </c>
      <c r="D23" s="3">
        <f t="shared" si="0"/>
        <v>0.48572342637766935</v>
      </c>
      <c r="E23" s="1" t="s">
        <v>42</v>
      </c>
    </row>
    <row r="24" spans="1:5" x14ac:dyDescent="0.2">
      <c r="A24" s="1" t="s">
        <v>40</v>
      </c>
      <c r="B24" s="4">
        <v>11449</v>
      </c>
      <c r="C24" s="4">
        <v>3703</v>
      </c>
      <c r="D24" s="3">
        <f t="shared" si="0"/>
        <v>0.32343436107957024</v>
      </c>
      <c r="E24" s="1" t="s">
        <v>31</v>
      </c>
    </row>
    <row r="25" spans="1:5" x14ac:dyDescent="0.2">
      <c r="A25" s="1" t="s">
        <v>27</v>
      </c>
      <c r="B25" s="4">
        <v>11262</v>
      </c>
      <c r="C25" s="4">
        <v>1115</v>
      </c>
      <c r="D25" s="3">
        <f t="shared" si="0"/>
        <v>9.9005505238856331E-2</v>
      </c>
      <c r="E25" s="1" t="s">
        <v>23</v>
      </c>
    </row>
    <row r="26" spans="1:5" x14ac:dyDescent="0.2">
      <c r="A26" s="1" t="s">
        <v>41</v>
      </c>
      <c r="B26" s="4">
        <v>11229</v>
      </c>
      <c r="C26" s="4">
        <v>1999</v>
      </c>
      <c r="D26" s="3">
        <f t="shared" si="0"/>
        <v>0.17802119511977915</v>
      </c>
      <c r="E26" s="1" t="s">
        <v>31</v>
      </c>
    </row>
    <row r="27" spans="1:5" x14ac:dyDescent="0.2">
      <c r="A27" s="1" t="s">
        <v>17</v>
      </c>
      <c r="B27" s="4">
        <v>9523</v>
      </c>
      <c r="C27" s="4">
        <v>890</v>
      </c>
      <c r="D27" s="3">
        <f t="shared" si="0"/>
        <v>9.3457943925233641E-2</v>
      </c>
      <c r="E27" s="1" t="s">
        <v>9</v>
      </c>
    </row>
    <row r="28" spans="1:5" x14ac:dyDescent="0.2">
      <c r="A28" s="1" t="s">
        <v>18</v>
      </c>
      <c r="B28" s="4">
        <v>7961</v>
      </c>
      <c r="C28" s="4">
        <v>563</v>
      </c>
      <c r="D28" s="3">
        <f t="shared" si="0"/>
        <v>7.0719758824268314E-2</v>
      </c>
      <c r="E28" s="1" t="s">
        <v>9</v>
      </c>
    </row>
    <row r="29" spans="1:5" x14ac:dyDescent="0.2">
      <c r="A29" s="1" t="s">
        <v>19</v>
      </c>
      <c r="B29" s="4">
        <v>7811</v>
      </c>
      <c r="C29" s="4">
        <v>689</v>
      </c>
      <c r="D29" s="3">
        <f t="shared" si="0"/>
        <v>8.8208936115734216E-2</v>
      </c>
      <c r="E29" s="1" t="s">
        <v>9</v>
      </c>
    </row>
    <row r="30" spans="1:5" x14ac:dyDescent="0.2">
      <c r="A30" s="1" t="s">
        <v>20</v>
      </c>
      <c r="B30" s="4">
        <v>7710</v>
      </c>
      <c r="C30" s="4">
        <v>120</v>
      </c>
      <c r="D30" s="3">
        <f t="shared" si="0"/>
        <v>1.556420233463035E-2</v>
      </c>
      <c r="E30" s="1" t="s">
        <v>9</v>
      </c>
    </row>
    <row r="31" spans="1:5" x14ac:dyDescent="0.2">
      <c r="A31" s="1" t="s">
        <v>21</v>
      </c>
      <c r="B31" s="4">
        <v>7440</v>
      </c>
      <c r="C31" s="4">
        <v>720</v>
      </c>
      <c r="D31" s="3">
        <f t="shared" si="0"/>
        <v>9.6774193548387094E-2</v>
      </c>
      <c r="E31" s="1" t="s">
        <v>9</v>
      </c>
    </row>
    <row r="32" spans="1:5" x14ac:dyDescent="0.2">
      <c r="A32" s="1" t="s">
        <v>7</v>
      </c>
      <c r="B32" s="4">
        <v>6548</v>
      </c>
      <c r="C32" s="4">
        <v>1055</v>
      </c>
      <c r="D32" s="3">
        <f t="shared" si="0"/>
        <v>0.16111789859499084</v>
      </c>
      <c r="E32" s="1" t="s">
        <v>5</v>
      </c>
    </row>
    <row r="33" spans="1:5" x14ac:dyDescent="0.2">
      <c r="A33" s="1" t="s">
        <v>8</v>
      </c>
      <c r="B33" s="4">
        <v>6440</v>
      </c>
      <c r="C33" s="4">
        <v>847</v>
      </c>
      <c r="D33" s="3">
        <f t="shared" si="0"/>
        <v>0.13152173913043477</v>
      </c>
      <c r="E33" s="1" t="s">
        <v>5</v>
      </c>
    </row>
    <row r="34" spans="1:5" x14ac:dyDescent="0.2">
      <c r="A34" s="1" t="s">
        <v>28</v>
      </c>
      <c r="B34" s="4">
        <v>6403</v>
      </c>
      <c r="C34" s="4">
        <v>-199</v>
      </c>
      <c r="D34" s="3">
        <f t="shared" si="0"/>
        <v>-3.1079181633609246E-2</v>
      </c>
      <c r="E34" s="1" t="s">
        <v>23</v>
      </c>
    </row>
    <row r="35" spans="1:5" x14ac:dyDescent="0.2">
      <c r="A35" s="1" t="s">
        <v>22</v>
      </c>
      <c r="B35" s="4">
        <v>6175</v>
      </c>
      <c r="C35" s="4">
        <v>-229</v>
      </c>
      <c r="D35" s="3">
        <f t="shared" si="0"/>
        <v>-3.7085020242914983E-2</v>
      </c>
      <c r="E35" s="1" t="s">
        <v>9</v>
      </c>
    </row>
    <row r="36" spans="1:5" x14ac:dyDescent="0.2">
      <c r="A36" s="1" t="s">
        <v>29</v>
      </c>
      <c r="B36" s="4">
        <v>5853</v>
      </c>
      <c r="C36" s="4">
        <v>-108</v>
      </c>
      <c r="D36" s="3">
        <f t="shared" si="0"/>
        <v>-1.8452075858534086E-2</v>
      </c>
      <c r="E36" s="1" t="s">
        <v>23</v>
      </c>
    </row>
    <row r="37" spans="1:5" x14ac:dyDescent="0.2">
      <c r="A37" s="1" t="s">
        <v>30</v>
      </c>
      <c r="B37" s="4">
        <v>5761</v>
      </c>
      <c r="C37" s="4">
        <v>648</v>
      </c>
      <c r="D37" s="3">
        <f t="shared" si="0"/>
        <v>0.11248047214025343</v>
      </c>
      <c r="E37" s="1" t="s">
        <v>23</v>
      </c>
    </row>
  </sheetData>
  <sortState xmlns:xlrd2="http://schemas.microsoft.com/office/spreadsheetml/2017/richdata2" ref="A2:E37">
    <sortCondition descending="1" ref="B2:B37"/>
  </sortState>
  <printOptions gridLines="1"/>
  <pageMargins left="0.7" right="0.7" top="0.75" bottom="0.75" header="0.3" footer="0.3"/>
  <pageSetup scale="69" orientation="portrait" horizontalDpi="0" verticalDpi="0" r:id="rId1"/>
  <headerFooter>
    <oddHeader>&amp;C&amp;A
&amp;F</oddHeader>
    <oddFooter>&amp;R&amp;D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E37"/>
  <sheetViews>
    <sheetView tabSelected="1" workbookViewId="0">
      <selection activeCell="K7" sqref="K7"/>
    </sheetView>
  </sheetViews>
  <sheetFormatPr baseColWidth="10" defaultColWidth="8.83203125" defaultRowHeight="15" x14ac:dyDescent="0.2"/>
  <cols>
    <col min="1" max="1" width="27.1640625" style="1" customWidth="1"/>
    <col min="2" max="2" width="24.5" style="4" customWidth="1"/>
    <col min="3" max="3" width="21.5" style="4" customWidth="1"/>
    <col min="4" max="4" width="25" style="2" customWidth="1"/>
    <col min="5" max="5" width="32.33203125" style="1" customWidth="1"/>
  </cols>
  <sheetData>
    <row r="1" spans="1:5" x14ac:dyDescent="0.2">
      <c r="A1" s="1" t="s">
        <v>0</v>
      </c>
      <c r="B1" s="4" t="s">
        <v>53</v>
      </c>
      <c r="C1" s="4" t="s">
        <v>52</v>
      </c>
      <c r="D1" s="2" t="s">
        <v>3</v>
      </c>
      <c r="E1" s="1" t="s">
        <v>4</v>
      </c>
    </row>
    <row r="2" spans="1:5" x14ac:dyDescent="0.2">
      <c r="A2" s="1" t="s">
        <v>32</v>
      </c>
      <c r="B2" s="4">
        <v>71890</v>
      </c>
      <c r="C2" s="4">
        <v>18540</v>
      </c>
      <c r="D2" s="3">
        <f t="shared" ref="D2:D37" si="0">+C2/B2</f>
        <v>0.25789400472944779</v>
      </c>
      <c r="E2" s="1" t="s">
        <v>31</v>
      </c>
    </row>
    <row r="3" spans="1:5" x14ac:dyDescent="0.2">
      <c r="A3" s="1" t="s">
        <v>44</v>
      </c>
      <c r="B3" s="4">
        <v>19337</v>
      </c>
      <c r="C3" s="4">
        <v>14239</v>
      </c>
      <c r="D3" s="3">
        <f t="shared" si="0"/>
        <v>0.73636034545172468</v>
      </c>
      <c r="E3" s="1" t="s">
        <v>42</v>
      </c>
    </row>
    <row r="4" spans="1:5" x14ac:dyDescent="0.2">
      <c r="A4" s="1" t="s">
        <v>35</v>
      </c>
      <c r="B4" s="4">
        <v>30390</v>
      </c>
      <c r="C4" s="4">
        <v>13501</v>
      </c>
      <c r="D4" s="3">
        <f t="shared" si="0"/>
        <v>0.44425797959855218</v>
      </c>
      <c r="E4" s="1" t="s">
        <v>31</v>
      </c>
    </row>
    <row r="5" spans="1:5" x14ac:dyDescent="0.2">
      <c r="A5" s="1" t="s">
        <v>24</v>
      </c>
      <c r="B5" s="4">
        <v>71726</v>
      </c>
      <c r="C5" s="4">
        <v>10508</v>
      </c>
      <c r="D5" s="3">
        <f t="shared" si="0"/>
        <v>0.14650196581434904</v>
      </c>
      <c r="E5" s="1" t="s">
        <v>23</v>
      </c>
    </row>
    <row r="6" spans="1:5" x14ac:dyDescent="0.2">
      <c r="A6" s="1" t="s">
        <v>37</v>
      </c>
      <c r="B6" s="4">
        <v>22991</v>
      </c>
      <c r="C6" s="4">
        <v>7722</v>
      </c>
      <c r="D6" s="3">
        <f t="shared" si="0"/>
        <v>0.33587055804445215</v>
      </c>
      <c r="E6" s="1" t="s">
        <v>31</v>
      </c>
    </row>
    <row r="7" spans="1:5" x14ac:dyDescent="0.2">
      <c r="A7" s="1" t="s">
        <v>33</v>
      </c>
      <c r="B7" s="4">
        <v>52824</v>
      </c>
      <c r="C7" s="4">
        <v>7215</v>
      </c>
      <c r="D7" s="3">
        <f t="shared" si="0"/>
        <v>0.13658564288959563</v>
      </c>
      <c r="E7" s="1" t="s">
        <v>31</v>
      </c>
    </row>
    <row r="8" spans="1:5" x14ac:dyDescent="0.2">
      <c r="A8" s="1" t="s">
        <v>43</v>
      </c>
      <c r="B8" s="4">
        <v>26685</v>
      </c>
      <c r="C8" s="4">
        <v>6967</v>
      </c>
      <c r="D8" s="3">
        <f t="shared" si="0"/>
        <v>0.26108300543376428</v>
      </c>
      <c r="E8" s="1" t="s">
        <v>42</v>
      </c>
    </row>
    <row r="9" spans="1:5" x14ac:dyDescent="0.2">
      <c r="A9" s="1" t="s">
        <v>6</v>
      </c>
      <c r="B9" s="4">
        <v>41863</v>
      </c>
      <c r="C9" s="4">
        <v>6527</v>
      </c>
      <c r="D9" s="3">
        <f t="shared" si="0"/>
        <v>0.15591333635907603</v>
      </c>
      <c r="E9" s="1" t="s">
        <v>5</v>
      </c>
    </row>
    <row r="10" spans="1:5" x14ac:dyDescent="0.2">
      <c r="A10" s="1" t="s">
        <v>10</v>
      </c>
      <c r="B10" s="4">
        <v>62789</v>
      </c>
      <c r="C10" s="4">
        <v>6329</v>
      </c>
      <c r="D10" s="3">
        <f t="shared" si="0"/>
        <v>0.1007979104620236</v>
      </c>
      <c r="E10" s="1" t="s">
        <v>9</v>
      </c>
    </row>
    <row r="11" spans="1:5" x14ac:dyDescent="0.2">
      <c r="A11" s="1" t="s">
        <v>45</v>
      </c>
      <c r="B11" s="4">
        <v>12503</v>
      </c>
      <c r="C11" s="4">
        <v>6073</v>
      </c>
      <c r="D11" s="3">
        <f t="shared" si="0"/>
        <v>0.48572342637766935</v>
      </c>
      <c r="E11" s="1" t="s">
        <v>42</v>
      </c>
    </row>
    <row r="12" spans="1:5" x14ac:dyDescent="0.2">
      <c r="A12" s="1" t="s">
        <v>36</v>
      </c>
      <c r="B12" s="4">
        <v>25638</v>
      </c>
      <c r="C12" s="4">
        <v>5953</v>
      </c>
      <c r="D12" s="3">
        <f t="shared" si="0"/>
        <v>0.23219439893907481</v>
      </c>
      <c r="E12" s="1" t="s">
        <v>31</v>
      </c>
    </row>
    <row r="13" spans="1:5" x14ac:dyDescent="0.2">
      <c r="A13" s="1" t="s">
        <v>39</v>
      </c>
      <c r="B13" s="4">
        <v>19427</v>
      </c>
      <c r="C13" s="4">
        <v>4457</v>
      </c>
      <c r="D13" s="3">
        <f t="shared" si="0"/>
        <v>0.22942296803417925</v>
      </c>
      <c r="E13" s="1" t="s">
        <v>31</v>
      </c>
    </row>
    <row r="14" spans="1:5" x14ac:dyDescent="0.2">
      <c r="A14" s="1" t="s">
        <v>34</v>
      </c>
      <c r="B14" s="4">
        <v>39807</v>
      </c>
      <c r="C14" s="4">
        <v>3920</v>
      </c>
      <c r="D14" s="3">
        <f t="shared" si="0"/>
        <v>9.8475142562865825E-2</v>
      </c>
      <c r="E14" s="1" t="s">
        <v>31</v>
      </c>
    </row>
    <row r="15" spans="1:5" x14ac:dyDescent="0.2">
      <c r="A15" s="1" t="s">
        <v>40</v>
      </c>
      <c r="B15" s="4">
        <v>11449</v>
      </c>
      <c r="C15" s="4">
        <v>3703</v>
      </c>
      <c r="D15" s="3">
        <f t="shared" si="0"/>
        <v>0.32343436107957024</v>
      </c>
      <c r="E15" s="1" t="s">
        <v>31</v>
      </c>
    </row>
    <row r="16" spans="1:5" x14ac:dyDescent="0.2">
      <c r="A16" s="1" t="s">
        <v>11</v>
      </c>
      <c r="B16" s="4">
        <v>26487</v>
      </c>
      <c r="C16" s="4">
        <v>3632</v>
      </c>
      <c r="D16" s="3">
        <f t="shared" si="0"/>
        <v>0.13712387208819421</v>
      </c>
      <c r="E16" s="1" t="s">
        <v>9</v>
      </c>
    </row>
    <row r="17" spans="1:5" x14ac:dyDescent="0.2">
      <c r="A17" s="1" t="s">
        <v>38</v>
      </c>
      <c r="B17" s="4">
        <v>21222</v>
      </c>
      <c r="C17" s="4">
        <v>2738</v>
      </c>
      <c r="D17" s="3">
        <f t="shared" si="0"/>
        <v>0.12901705777023842</v>
      </c>
      <c r="E17" s="1" t="s">
        <v>31</v>
      </c>
    </row>
    <row r="18" spans="1:5" x14ac:dyDescent="0.2">
      <c r="A18" s="1" t="s">
        <v>26</v>
      </c>
      <c r="B18" s="4">
        <v>15195</v>
      </c>
      <c r="C18" s="4">
        <v>2441</v>
      </c>
      <c r="D18" s="3">
        <f t="shared" si="0"/>
        <v>0.16064494899638038</v>
      </c>
      <c r="E18" s="1" t="s">
        <v>23</v>
      </c>
    </row>
    <row r="19" spans="1:5" x14ac:dyDescent="0.2">
      <c r="A19" s="1" t="s">
        <v>25</v>
      </c>
      <c r="B19" s="4">
        <v>18202</v>
      </c>
      <c r="C19" s="4">
        <v>2166</v>
      </c>
      <c r="D19" s="3">
        <f t="shared" si="0"/>
        <v>0.11899791231732777</v>
      </c>
      <c r="E19" s="1" t="s">
        <v>23</v>
      </c>
    </row>
    <row r="20" spans="1:5" x14ac:dyDescent="0.2">
      <c r="A20" s="1" t="s">
        <v>41</v>
      </c>
      <c r="B20" s="4">
        <v>11229</v>
      </c>
      <c r="C20" s="4">
        <v>1999</v>
      </c>
      <c r="D20" s="3">
        <f t="shared" si="0"/>
        <v>0.17802119511977915</v>
      </c>
      <c r="E20" s="1" t="s">
        <v>31</v>
      </c>
    </row>
    <row r="21" spans="1:5" x14ac:dyDescent="0.2">
      <c r="A21" s="1" t="s">
        <v>13</v>
      </c>
      <c r="B21" s="4">
        <v>16563</v>
      </c>
      <c r="C21" s="4">
        <v>1697</v>
      </c>
      <c r="D21" s="3">
        <f t="shared" si="0"/>
        <v>0.10245728430839823</v>
      </c>
      <c r="E21" s="1" t="s">
        <v>9</v>
      </c>
    </row>
    <row r="22" spans="1:5" x14ac:dyDescent="0.2">
      <c r="A22" s="1" t="s">
        <v>12</v>
      </c>
      <c r="B22" s="4">
        <v>25923</v>
      </c>
      <c r="C22" s="4">
        <v>1659</v>
      </c>
      <c r="D22" s="3">
        <f t="shared" si="0"/>
        <v>6.3997222543687074E-2</v>
      </c>
      <c r="E22" s="1" t="s">
        <v>9</v>
      </c>
    </row>
    <row r="23" spans="1:5" x14ac:dyDescent="0.2">
      <c r="A23" s="1" t="s">
        <v>27</v>
      </c>
      <c r="B23" s="4">
        <v>11262</v>
      </c>
      <c r="C23" s="4">
        <v>1115</v>
      </c>
      <c r="D23" s="3">
        <f t="shared" si="0"/>
        <v>9.9005505238856331E-2</v>
      </c>
      <c r="E23" s="1" t="s">
        <v>23</v>
      </c>
    </row>
    <row r="24" spans="1:5" x14ac:dyDescent="0.2">
      <c r="A24" s="1" t="s">
        <v>7</v>
      </c>
      <c r="B24" s="4">
        <v>6548</v>
      </c>
      <c r="C24" s="4">
        <v>1055</v>
      </c>
      <c r="D24" s="3">
        <f t="shared" si="0"/>
        <v>0.16111789859499084</v>
      </c>
      <c r="E24" s="1" t="s">
        <v>5</v>
      </c>
    </row>
    <row r="25" spans="1:5" x14ac:dyDescent="0.2">
      <c r="A25" s="1" t="s">
        <v>17</v>
      </c>
      <c r="B25" s="4">
        <v>9523</v>
      </c>
      <c r="C25" s="4">
        <v>890</v>
      </c>
      <c r="D25" s="3">
        <f t="shared" si="0"/>
        <v>9.3457943925233641E-2</v>
      </c>
      <c r="E25" s="1" t="s">
        <v>9</v>
      </c>
    </row>
    <row r="26" spans="1:5" x14ac:dyDescent="0.2">
      <c r="A26" s="1" t="s">
        <v>8</v>
      </c>
      <c r="B26" s="4">
        <v>6440</v>
      </c>
      <c r="C26" s="4">
        <v>847</v>
      </c>
      <c r="D26" s="3">
        <f t="shared" si="0"/>
        <v>0.13152173913043477</v>
      </c>
      <c r="E26" s="1" t="s">
        <v>5</v>
      </c>
    </row>
    <row r="27" spans="1:5" x14ac:dyDescent="0.2">
      <c r="A27" s="1" t="s">
        <v>21</v>
      </c>
      <c r="B27" s="4">
        <v>7440</v>
      </c>
      <c r="C27" s="4">
        <v>720</v>
      </c>
      <c r="D27" s="3">
        <f t="shared" si="0"/>
        <v>9.6774193548387094E-2</v>
      </c>
      <c r="E27" s="1" t="s">
        <v>9</v>
      </c>
    </row>
    <row r="28" spans="1:5" x14ac:dyDescent="0.2">
      <c r="A28" s="1" t="s">
        <v>16</v>
      </c>
      <c r="B28" s="4">
        <v>13014</v>
      </c>
      <c r="C28" s="4">
        <v>694</v>
      </c>
      <c r="D28" s="3">
        <f t="shared" si="0"/>
        <v>5.3327186107269095E-2</v>
      </c>
      <c r="E28" s="1" t="s">
        <v>9</v>
      </c>
    </row>
    <row r="29" spans="1:5" x14ac:dyDescent="0.2">
      <c r="A29" s="1" t="s">
        <v>19</v>
      </c>
      <c r="B29" s="4">
        <v>7811</v>
      </c>
      <c r="C29" s="4">
        <v>689</v>
      </c>
      <c r="D29" s="3">
        <f t="shared" si="0"/>
        <v>8.8208936115734216E-2</v>
      </c>
      <c r="E29" s="1" t="s">
        <v>9</v>
      </c>
    </row>
    <row r="30" spans="1:5" x14ac:dyDescent="0.2">
      <c r="A30" s="1" t="s">
        <v>30</v>
      </c>
      <c r="B30" s="4">
        <v>5761</v>
      </c>
      <c r="C30" s="4">
        <v>648</v>
      </c>
      <c r="D30" s="3">
        <f t="shared" si="0"/>
        <v>0.11248047214025343</v>
      </c>
      <c r="E30" s="1" t="s">
        <v>23</v>
      </c>
    </row>
    <row r="31" spans="1:5" x14ac:dyDescent="0.2">
      <c r="A31" s="1" t="s">
        <v>18</v>
      </c>
      <c r="B31" s="4">
        <v>7961</v>
      </c>
      <c r="C31" s="4">
        <v>563</v>
      </c>
      <c r="D31" s="3">
        <f t="shared" si="0"/>
        <v>7.0719758824268314E-2</v>
      </c>
      <c r="E31" s="1" t="s">
        <v>9</v>
      </c>
    </row>
    <row r="32" spans="1:5" x14ac:dyDescent="0.2">
      <c r="A32" s="1" t="s">
        <v>15</v>
      </c>
      <c r="B32" s="4">
        <v>13233</v>
      </c>
      <c r="C32" s="4">
        <v>245</v>
      </c>
      <c r="D32" s="3">
        <f t="shared" si="0"/>
        <v>1.8514320259956168E-2</v>
      </c>
      <c r="E32" s="1" t="s">
        <v>9</v>
      </c>
    </row>
    <row r="33" spans="1:5" x14ac:dyDescent="0.2">
      <c r="A33" s="1" t="s">
        <v>20</v>
      </c>
      <c r="B33" s="4">
        <v>7710</v>
      </c>
      <c r="C33" s="4">
        <v>120</v>
      </c>
      <c r="D33" s="3">
        <f t="shared" si="0"/>
        <v>1.556420233463035E-2</v>
      </c>
      <c r="E33" s="1" t="s">
        <v>9</v>
      </c>
    </row>
    <row r="34" spans="1:5" x14ac:dyDescent="0.2">
      <c r="A34" s="1" t="s">
        <v>29</v>
      </c>
      <c r="B34" s="4">
        <v>5853</v>
      </c>
      <c r="C34" s="4">
        <v>-108</v>
      </c>
      <c r="D34" s="3">
        <f t="shared" si="0"/>
        <v>-1.8452075858534086E-2</v>
      </c>
      <c r="E34" s="1" t="s">
        <v>23</v>
      </c>
    </row>
    <row r="35" spans="1:5" x14ac:dyDescent="0.2">
      <c r="A35" s="1" t="s">
        <v>28</v>
      </c>
      <c r="B35" s="4">
        <v>6403</v>
      </c>
      <c r="C35" s="4">
        <v>-199</v>
      </c>
      <c r="D35" s="3">
        <f t="shared" si="0"/>
        <v>-3.1079181633609246E-2</v>
      </c>
      <c r="E35" s="1" t="s">
        <v>23</v>
      </c>
    </row>
    <row r="36" spans="1:5" x14ac:dyDescent="0.2">
      <c r="A36" s="1" t="s">
        <v>22</v>
      </c>
      <c r="B36" s="4">
        <v>6175</v>
      </c>
      <c r="C36" s="4">
        <v>-229</v>
      </c>
      <c r="D36" s="3">
        <f t="shared" si="0"/>
        <v>-3.7085020242914983E-2</v>
      </c>
      <c r="E36" s="1" t="s">
        <v>9</v>
      </c>
    </row>
    <row r="37" spans="1:5" x14ac:dyDescent="0.2">
      <c r="A37" s="1" t="s">
        <v>14</v>
      </c>
      <c r="B37" s="4">
        <v>14134</v>
      </c>
      <c r="C37" s="4">
        <v>-677</v>
      </c>
      <c r="D37" s="3">
        <f t="shared" si="0"/>
        <v>-4.7898684024338473E-2</v>
      </c>
      <c r="E37" s="1" t="s">
        <v>9</v>
      </c>
    </row>
  </sheetData>
  <sortState xmlns:xlrd2="http://schemas.microsoft.com/office/spreadsheetml/2017/richdata2" ref="A2:E38">
    <sortCondition descending="1" ref="C2:C38"/>
  </sortState>
  <printOptions gridLines="1"/>
  <pageMargins left="0.7" right="0.7" top="0.75" bottom="0.75" header="0.3" footer="0.3"/>
  <pageSetup scale="69" orientation="portrait" horizontalDpi="0" verticalDpi="0" r:id="rId1"/>
  <headerFooter>
    <oddHeader>&amp;C&amp;A
&amp;F</oddHeader>
    <oddFooter>&amp;R&amp;D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pageSetUpPr fitToPage="1"/>
  </sheetPr>
  <dimension ref="A1:E37"/>
  <sheetViews>
    <sheetView workbookViewId="0">
      <selection sqref="A1:XFD1048576"/>
    </sheetView>
  </sheetViews>
  <sheetFormatPr baseColWidth="10" defaultColWidth="8.83203125" defaultRowHeight="15" x14ac:dyDescent="0.2"/>
  <cols>
    <col min="1" max="1" width="27.1640625" style="1" customWidth="1"/>
    <col min="2" max="2" width="24.5" style="4" customWidth="1"/>
    <col min="3" max="3" width="21.5" style="4" customWidth="1"/>
    <col min="4" max="4" width="25" style="2" customWidth="1"/>
    <col min="5" max="5" width="32.33203125" style="1" customWidth="1"/>
  </cols>
  <sheetData>
    <row r="1" spans="1:5" x14ac:dyDescent="0.2">
      <c r="A1" s="1" t="s">
        <v>0</v>
      </c>
      <c r="B1" s="4" t="s">
        <v>1</v>
      </c>
      <c r="C1" s="4" t="s">
        <v>2</v>
      </c>
      <c r="D1" s="2" t="s">
        <v>3</v>
      </c>
      <c r="E1" s="1" t="s">
        <v>4</v>
      </c>
    </row>
    <row r="2" spans="1:5" x14ac:dyDescent="0.2">
      <c r="A2" s="1" t="s">
        <v>44</v>
      </c>
      <c r="B2" s="4">
        <v>19337</v>
      </c>
      <c r="C2" s="4">
        <v>14239</v>
      </c>
      <c r="D2" s="3">
        <f t="shared" ref="D2:D37" si="0">+C2/B2</f>
        <v>0.73636034545172468</v>
      </c>
      <c r="E2" s="1" t="s">
        <v>42</v>
      </c>
    </row>
    <row r="3" spans="1:5" x14ac:dyDescent="0.2">
      <c r="A3" s="1" t="s">
        <v>45</v>
      </c>
      <c r="B3" s="4">
        <v>12503</v>
      </c>
      <c r="C3" s="4">
        <v>6073</v>
      </c>
      <c r="D3" s="3">
        <f t="shared" si="0"/>
        <v>0.48572342637766935</v>
      </c>
      <c r="E3" s="1" t="s">
        <v>42</v>
      </c>
    </row>
    <row r="4" spans="1:5" x14ac:dyDescent="0.2">
      <c r="A4" s="1" t="s">
        <v>35</v>
      </c>
      <c r="B4" s="4">
        <v>30390</v>
      </c>
      <c r="C4" s="4">
        <v>13501</v>
      </c>
      <c r="D4" s="3">
        <f t="shared" si="0"/>
        <v>0.44425797959855218</v>
      </c>
      <c r="E4" s="1" t="s">
        <v>31</v>
      </c>
    </row>
    <row r="5" spans="1:5" x14ac:dyDescent="0.2">
      <c r="A5" s="1" t="s">
        <v>37</v>
      </c>
      <c r="B5" s="4">
        <v>22991</v>
      </c>
      <c r="C5" s="4">
        <v>7722</v>
      </c>
      <c r="D5" s="3">
        <f t="shared" si="0"/>
        <v>0.33587055804445215</v>
      </c>
      <c r="E5" s="1" t="s">
        <v>31</v>
      </c>
    </row>
    <row r="6" spans="1:5" x14ac:dyDescent="0.2">
      <c r="A6" s="1" t="s">
        <v>40</v>
      </c>
      <c r="B6" s="4">
        <v>11449</v>
      </c>
      <c r="C6" s="4">
        <v>3703</v>
      </c>
      <c r="D6" s="3">
        <f t="shared" si="0"/>
        <v>0.32343436107957024</v>
      </c>
      <c r="E6" s="1" t="s">
        <v>31</v>
      </c>
    </row>
    <row r="7" spans="1:5" x14ac:dyDescent="0.2">
      <c r="A7" s="1" t="s">
        <v>43</v>
      </c>
      <c r="B7" s="4">
        <v>26685</v>
      </c>
      <c r="C7" s="4">
        <v>6967</v>
      </c>
      <c r="D7" s="3">
        <f t="shared" si="0"/>
        <v>0.26108300543376428</v>
      </c>
      <c r="E7" s="1" t="s">
        <v>42</v>
      </c>
    </row>
    <row r="8" spans="1:5" x14ac:dyDescent="0.2">
      <c r="A8" s="1" t="s">
        <v>32</v>
      </c>
      <c r="B8" s="4">
        <v>71890</v>
      </c>
      <c r="C8" s="4">
        <v>18540</v>
      </c>
      <c r="D8" s="3">
        <f t="shared" si="0"/>
        <v>0.25789400472944779</v>
      </c>
      <c r="E8" s="1" t="s">
        <v>31</v>
      </c>
    </row>
    <row r="9" spans="1:5" x14ac:dyDescent="0.2">
      <c r="A9" s="1" t="s">
        <v>36</v>
      </c>
      <c r="B9" s="4">
        <v>25638</v>
      </c>
      <c r="C9" s="4">
        <v>5953</v>
      </c>
      <c r="D9" s="3">
        <f t="shared" si="0"/>
        <v>0.23219439893907481</v>
      </c>
      <c r="E9" s="1" t="s">
        <v>31</v>
      </c>
    </row>
    <row r="10" spans="1:5" x14ac:dyDescent="0.2">
      <c r="A10" s="1" t="s">
        <v>39</v>
      </c>
      <c r="B10" s="4">
        <v>19427</v>
      </c>
      <c r="C10" s="4">
        <v>4457</v>
      </c>
      <c r="D10" s="3">
        <f t="shared" si="0"/>
        <v>0.22942296803417925</v>
      </c>
      <c r="E10" s="1" t="s">
        <v>31</v>
      </c>
    </row>
    <row r="11" spans="1:5" x14ac:dyDescent="0.2">
      <c r="A11" s="1" t="s">
        <v>41</v>
      </c>
      <c r="B11" s="4">
        <v>11229</v>
      </c>
      <c r="C11" s="4">
        <v>1999</v>
      </c>
      <c r="D11" s="3">
        <f t="shared" si="0"/>
        <v>0.17802119511977915</v>
      </c>
      <c r="E11" s="1" t="s">
        <v>31</v>
      </c>
    </row>
    <row r="12" spans="1:5" x14ac:dyDescent="0.2">
      <c r="A12" s="1" t="s">
        <v>7</v>
      </c>
      <c r="B12" s="4">
        <v>6548</v>
      </c>
      <c r="C12" s="4">
        <v>1055</v>
      </c>
      <c r="D12" s="3">
        <f t="shared" si="0"/>
        <v>0.16111789859499084</v>
      </c>
      <c r="E12" s="1" t="s">
        <v>5</v>
      </c>
    </row>
    <row r="13" spans="1:5" x14ac:dyDescent="0.2">
      <c r="A13" s="1" t="s">
        <v>26</v>
      </c>
      <c r="B13" s="4">
        <v>15195</v>
      </c>
      <c r="C13" s="4">
        <v>2441</v>
      </c>
      <c r="D13" s="3">
        <f t="shared" si="0"/>
        <v>0.16064494899638038</v>
      </c>
      <c r="E13" s="1" t="s">
        <v>23</v>
      </c>
    </row>
    <row r="14" spans="1:5" x14ac:dyDescent="0.2">
      <c r="A14" s="1" t="s">
        <v>6</v>
      </c>
      <c r="B14" s="4">
        <v>41863</v>
      </c>
      <c r="C14" s="4">
        <v>6527</v>
      </c>
      <c r="D14" s="3">
        <f t="shared" si="0"/>
        <v>0.15591333635907603</v>
      </c>
      <c r="E14" s="1" t="s">
        <v>5</v>
      </c>
    </row>
    <row r="15" spans="1:5" x14ac:dyDescent="0.2">
      <c r="A15" s="1" t="s">
        <v>24</v>
      </c>
      <c r="B15" s="4">
        <v>71726</v>
      </c>
      <c r="C15" s="4">
        <v>10508</v>
      </c>
      <c r="D15" s="3">
        <f t="shared" si="0"/>
        <v>0.14650196581434904</v>
      </c>
      <c r="E15" s="1" t="s">
        <v>23</v>
      </c>
    </row>
    <row r="16" spans="1:5" x14ac:dyDescent="0.2">
      <c r="A16" s="1" t="s">
        <v>11</v>
      </c>
      <c r="B16" s="4">
        <v>26487</v>
      </c>
      <c r="C16" s="4">
        <v>3632</v>
      </c>
      <c r="D16" s="3">
        <f t="shared" si="0"/>
        <v>0.13712387208819421</v>
      </c>
      <c r="E16" s="1" t="s">
        <v>9</v>
      </c>
    </row>
    <row r="17" spans="1:5" x14ac:dyDescent="0.2">
      <c r="A17" s="1" t="s">
        <v>33</v>
      </c>
      <c r="B17" s="4">
        <v>52824</v>
      </c>
      <c r="C17" s="4">
        <v>7215</v>
      </c>
      <c r="D17" s="3">
        <f t="shared" si="0"/>
        <v>0.13658564288959563</v>
      </c>
      <c r="E17" s="1" t="s">
        <v>31</v>
      </c>
    </row>
    <row r="18" spans="1:5" x14ac:dyDescent="0.2">
      <c r="A18" s="1" t="s">
        <v>8</v>
      </c>
      <c r="B18" s="4">
        <v>6440</v>
      </c>
      <c r="C18" s="4">
        <v>847</v>
      </c>
      <c r="D18" s="3">
        <f t="shared" si="0"/>
        <v>0.13152173913043477</v>
      </c>
      <c r="E18" s="1" t="s">
        <v>5</v>
      </c>
    </row>
    <row r="19" spans="1:5" x14ac:dyDescent="0.2">
      <c r="A19" s="1" t="s">
        <v>38</v>
      </c>
      <c r="B19" s="4">
        <v>21222</v>
      </c>
      <c r="C19" s="4">
        <v>2738</v>
      </c>
      <c r="D19" s="3">
        <f t="shared" si="0"/>
        <v>0.12901705777023842</v>
      </c>
      <c r="E19" s="1" t="s">
        <v>31</v>
      </c>
    </row>
    <row r="20" spans="1:5" x14ac:dyDescent="0.2">
      <c r="A20" s="1" t="s">
        <v>25</v>
      </c>
      <c r="B20" s="4">
        <v>18202</v>
      </c>
      <c r="C20" s="4">
        <v>2166</v>
      </c>
      <c r="D20" s="3">
        <f t="shared" si="0"/>
        <v>0.11899791231732777</v>
      </c>
      <c r="E20" s="1" t="s">
        <v>23</v>
      </c>
    </row>
    <row r="21" spans="1:5" x14ac:dyDescent="0.2">
      <c r="A21" s="1" t="s">
        <v>30</v>
      </c>
      <c r="B21" s="4">
        <v>5761</v>
      </c>
      <c r="C21" s="4">
        <v>648</v>
      </c>
      <c r="D21" s="3">
        <f t="shared" si="0"/>
        <v>0.11248047214025343</v>
      </c>
      <c r="E21" s="1" t="s">
        <v>23</v>
      </c>
    </row>
    <row r="22" spans="1:5" x14ac:dyDescent="0.2">
      <c r="A22" s="1" t="s">
        <v>13</v>
      </c>
      <c r="B22" s="4">
        <v>16563</v>
      </c>
      <c r="C22" s="4">
        <v>1697</v>
      </c>
      <c r="D22" s="3">
        <f t="shared" si="0"/>
        <v>0.10245728430839823</v>
      </c>
      <c r="E22" s="1" t="s">
        <v>9</v>
      </c>
    </row>
    <row r="23" spans="1:5" x14ac:dyDescent="0.2">
      <c r="A23" s="1" t="s">
        <v>10</v>
      </c>
      <c r="B23" s="4">
        <v>62789</v>
      </c>
      <c r="C23" s="4">
        <v>6329</v>
      </c>
      <c r="D23" s="3">
        <f t="shared" si="0"/>
        <v>0.1007979104620236</v>
      </c>
      <c r="E23" s="1" t="s">
        <v>9</v>
      </c>
    </row>
    <row r="24" spans="1:5" x14ac:dyDescent="0.2">
      <c r="A24" s="1" t="s">
        <v>27</v>
      </c>
      <c r="B24" s="4">
        <v>11262</v>
      </c>
      <c r="C24" s="4">
        <v>1115</v>
      </c>
      <c r="D24" s="3">
        <f t="shared" si="0"/>
        <v>9.9005505238856331E-2</v>
      </c>
      <c r="E24" s="1" t="s">
        <v>23</v>
      </c>
    </row>
    <row r="25" spans="1:5" x14ac:dyDescent="0.2">
      <c r="A25" s="1" t="s">
        <v>34</v>
      </c>
      <c r="B25" s="4">
        <v>39807</v>
      </c>
      <c r="C25" s="4">
        <v>3920</v>
      </c>
      <c r="D25" s="3">
        <f t="shared" si="0"/>
        <v>9.8475142562865825E-2</v>
      </c>
      <c r="E25" s="1" t="s">
        <v>31</v>
      </c>
    </row>
    <row r="26" spans="1:5" x14ac:dyDescent="0.2">
      <c r="A26" s="1" t="s">
        <v>21</v>
      </c>
      <c r="B26" s="4">
        <v>7440</v>
      </c>
      <c r="C26" s="4">
        <v>720</v>
      </c>
      <c r="D26" s="3">
        <f t="shared" si="0"/>
        <v>9.6774193548387094E-2</v>
      </c>
      <c r="E26" s="1" t="s">
        <v>9</v>
      </c>
    </row>
    <row r="27" spans="1:5" x14ac:dyDescent="0.2">
      <c r="A27" s="1" t="s">
        <v>17</v>
      </c>
      <c r="B27" s="4">
        <v>9523</v>
      </c>
      <c r="C27" s="4">
        <v>890</v>
      </c>
      <c r="D27" s="3">
        <f t="shared" si="0"/>
        <v>9.3457943925233641E-2</v>
      </c>
      <c r="E27" s="1" t="s">
        <v>9</v>
      </c>
    </row>
    <row r="28" spans="1:5" x14ac:dyDescent="0.2">
      <c r="A28" s="1" t="s">
        <v>19</v>
      </c>
      <c r="B28" s="4">
        <v>7811</v>
      </c>
      <c r="C28" s="4">
        <v>689</v>
      </c>
      <c r="D28" s="3">
        <f t="shared" si="0"/>
        <v>8.8208936115734216E-2</v>
      </c>
      <c r="E28" s="1" t="s">
        <v>9</v>
      </c>
    </row>
    <row r="29" spans="1:5" x14ac:dyDescent="0.2">
      <c r="A29" s="1" t="s">
        <v>18</v>
      </c>
      <c r="B29" s="4">
        <v>7961</v>
      </c>
      <c r="C29" s="4">
        <v>563</v>
      </c>
      <c r="D29" s="3">
        <f t="shared" si="0"/>
        <v>7.0719758824268314E-2</v>
      </c>
      <c r="E29" s="1" t="s">
        <v>9</v>
      </c>
    </row>
    <row r="30" spans="1:5" x14ac:dyDescent="0.2">
      <c r="A30" s="1" t="s">
        <v>12</v>
      </c>
      <c r="B30" s="4">
        <v>25923</v>
      </c>
      <c r="C30" s="4">
        <v>1659</v>
      </c>
      <c r="D30" s="3">
        <f t="shared" si="0"/>
        <v>6.3997222543687074E-2</v>
      </c>
      <c r="E30" s="1" t="s">
        <v>9</v>
      </c>
    </row>
    <row r="31" spans="1:5" x14ac:dyDescent="0.2">
      <c r="A31" s="1" t="s">
        <v>16</v>
      </c>
      <c r="B31" s="4">
        <v>13014</v>
      </c>
      <c r="C31" s="4">
        <v>694</v>
      </c>
      <c r="D31" s="3">
        <f t="shared" si="0"/>
        <v>5.3327186107269095E-2</v>
      </c>
      <c r="E31" s="1" t="s">
        <v>9</v>
      </c>
    </row>
    <row r="32" spans="1:5" x14ac:dyDescent="0.2">
      <c r="A32" s="1" t="s">
        <v>15</v>
      </c>
      <c r="B32" s="4">
        <v>13233</v>
      </c>
      <c r="C32" s="4">
        <v>245</v>
      </c>
      <c r="D32" s="3">
        <f t="shared" si="0"/>
        <v>1.8514320259956168E-2</v>
      </c>
      <c r="E32" s="1" t="s">
        <v>9</v>
      </c>
    </row>
    <row r="33" spans="1:5" x14ac:dyDescent="0.2">
      <c r="A33" s="1" t="s">
        <v>20</v>
      </c>
      <c r="B33" s="4">
        <v>7710</v>
      </c>
      <c r="C33" s="4">
        <v>120</v>
      </c>
      <c r="D33" s="3">
        <f t="shared" si="0"/>
        <v>1.556420233463035E-2</v>
      </c>
      <c r="E33" s="1" t="s">
        <v>9</v>
      </c>
    </row>
    <row r="34" spans="1:5" x14ac:dyDescent="0.2">
      <c r="A34" s="1" t="s">
        <v>29</v>
      </c>
      <c r="B34" s="4">
        <v>5853</v>
      </c>
      <c r="C34" s="4">
        <v>-108</v>
      </c>
      <c r="D34" s="3">
        <f t="shared" si="0"/>
        <v>-1.8452075858534086E-2</v>
      </c>
      <c r="E34" s="1" t="s">
        <v>23</v>
      </c>
    </row>
    <row r="35" spans="1:5" x14ac:dyDescent="0.2">
      <c r="A35" s="1" t="s">
        <v>28</v>
      </c>
      <c r="B35" s="4">
        <v>6403</v>
      </c>
      <c r="C35" s="4">
        <v>-199</v>
      </c>
      <c r="D35" s="3">
        <f t="shared" si="0"/>
        <v>-3.1079181633609246E-2</v>
      </c>
      <c r="E35" s="1" t="s">
        <v>23</v>
      </c>
    </row>
    <row r="36" spans="1:5" x14ac:dyDescent="0.2">
      <c r="A36" s="1" t="s">
        <v>22</v>
      </c>
      <c r="B36" s="4">
        <v>6175</v>
      </c>
      <c r="C36" s="4">
        <v>-229</v>
      </c>
      <c r="D36" s="3">
        <f t="shared" si="0"/>
        <v>-3.7085020242914983E-2</v>
      </c>
      <c r="E36" s="1" t="s">
        <v>9</v>
      </c>
    </row>
    <row r="37" spans="1:5" x14ac:dyDescent="0.2">
      <c r="A37" s="1" t="s">
        <v>14</v>
      </c>
      <c r="B37" s="4">
        <v>14134</v>
      </c>
      <c r="C37" s="4">
        <v>-677</v>
      </c>
      <c r="D37" s="3">
        <f t="shared" si="0"/>
        <v>-4.7898684024338473E-2</v>
      </c>
      <c r="E37" s="1" t="s">
        <v>9</v>
      </c>
    </row>
  </sheetData>
  <sortState xmlns:xlrd2="http://schemas.microsoft.com/office/spreadsheetml/2017/richdata2" ref="A2:E39">
    <sortCondition descending="1" ref="D2:D39"/>
  </sortState>
  <printOptions gridLines="1"/>
  <pageMargins left="0.7" right="0.7" top="0.75" bottom="0.75" header="0.3" footer="0.3"/>
  <pageSetup scale="69" orientation="portrait" horizontalDpi="0" verticalDpi="0" r:id="rId1"/>
  <headerFooter>
    <oddHeader>&amp;C&amp;A
&amp;F</oddHeader>
    <oddFooter>&amp;R&amp;D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pageSetUpPr fitToPage="1"/>
  </sheetPr>
  <dimension ref="A1:E45"/>
  <sheetViews>
    <sheetView topLeftCell="A24" workbookViewId="0">
      <selection sqref="A1:XFD1048576"/>
    </sheetView>
  </sheetViews>
  <sheetFormatPr baseColWidth="10" defaultColWidth="8.83203125" defaultRowHeight="15" outlineLevelRow="2" x14ac:dyDescent="0.2"/>
  <cols>
    <col min="1" max="1" width="27.1640625" style="1" customWidth="1"/>
    <col min="2" max="2" width="24.5" style="4" customWidth="1"/>
    <col min="3" max="3" width="21.5" style="4" customWidth="1"/>
    <col min="4" max="4" width="25" style="2" customWidth="1"/>
    <col min="5" max="5" width="32.33203125" style="1" customWidth="1"/>
  </cols>
  <sheetData>
    <row r="1" spans="1:5" x14ac:dyDescent="0.2">
      <c r="A1" s="1" t="s">
        <v>0</v>
      </c>
      <c r="B1" s="4" t="s">
        <v>1</v>
      </c>
      <c r="C1" s="4" t="s">
        <v>2</v>
      </c>
      <c r="D1" s="2" t="s">
        <v>3</v>
      </c>
      <c r="E1" s="1" t="s">
        <v>4</v>
      </c>
    </row>
    <row r="2" spans="1:5" outlineLevel="2" x14ac:dyDescent="0.2">
      <c r="A2" s="1" t="s">
        <v>6</v>
      </c>
      <c r="B2" s="4">
        <v>41863</v>
      </c>
      <c r="C2" s="4">
        <v>6527</v>
      </c>
      <c r="D2" s="3">
        <f t="shared" ref="D2:D42" si="0">+C2/B2</f>
        <v>0.15591333635907603</v>
      </c>
      <c r="E2" s="1" t="s">
        <v>5</v>
      </c>
    </row>
    <row r="3" spans="1:5" outlineLevel="2" x14ac:dyDescent="0.2">
      <c r="A3" s="1" t="s">
        <v>7</v>
      </c>
      <c r="B3" s="4">
        <v>6548</v>
      </c>
      <c r="C3" s="4">
        <v>1055</v>
      </c>
      <c r="D3" s="3">
        <f t="shared" si="0"/>
        <v>0.16111789859499084</v>
      </c>
      <c r="E3" s="1" t="s">
        <v>5</v>
      </c>
    </row>
    <row r="4" spans="1:5" outlineLevel="2" x14ac:dyDescent="0.2">
      <c r="A4" s="1" t="s">
        <v>8</v>
      </c>
      <c r="B4" s="4">
        <v>6440</v>
      </c>
      <c r="C4" s="4">
        <v>847</v>
      </c>
      <c r="D4" s="3">
        <f t="shared" si="0"/>
        <v>0.13152173913043477</v>
      </c>
      <c r="E4" s="1" t="s">
        <v>5</v>
      </c>
    </row>
    <row r="5" spans="1:5" outlineLevel="1" x14ac:dyDescent="0.2">
      <c r="B5" s="4">
        <f>SUBTOTAL(9,B2:B4)</f>
        <v>54851</v>
      </c>
      <c r="C5" s="4">
        <f>SUBTOTAL(9,C2:C4)</f>
        <v>8429</v>
      </c>
      <c r="D5" s="3">
        <f t="shared" si="0"/>
        <v>0.15367085376747916</v>
      </c>
      <c r="E5" s="5" t="s">
        <v>46</v>
      </c>
    </row>
    <row r="6" spans="1:5" outlineLevel="2" x14ac:dyDescent="0.2">
      <c r="A6" s="1" t="s">
        <v>10</v>
      </c>
      <c r="B6" s="4">
        <v>62789</v>
      </c>
      <c r="C6" s="4">
        <v>6329</v>
      </c>
      <c r="D6" s="3">
        <f t="shared" si="0"/>
        <v>0.1007979104620236</v>
      </c>
      <c r="E6" s="1" t="s">
        <v>9</v>
      </c>
    </row>
    <row r="7" spans="1:5" outlineLevel="2" x14ac:dyDescent="0.2">
      <c r="A7" s="1" t="s">
        <v>11</v>
      </c>
      <c r="B7" s="4">
        <v>26487</v>
      </c>
      <c r="C7" s="4">
        <v>3632</v>
      </c>
      <c r="D7" s="3">
        <f t="shared" si="0"/>
        <v>0.13712387208819421</v>
      </c>
      <c r="E7" s="1" t="s">
        <v>9</v>
      </c>
    </row>
    <row r="8" spans="1:5" outlineLevel="2" x14ac:dyDescent="0.2">
      <c r="A8" s="1" t="s">
        <v>12</v>
      </c>
      <c r="B8" s="4">
        <v>25923</v>
      </c>
      <c r="C8" s="4">
        <v>1659</v>
      </c>
      <c r="D8" s="3">
        <f t="shared" si="0"/>
        <v>6.3997222543687074E-2</v>
      </c>
      <c r="E8" s="1" t="s">
        <v>9</v>
      </c>
    </row>
    <row r="9" spans="1:5" outlineLevel="2" x14ac:dyDescent="0.2">
      <c r="A9" s="1" t="s">
        <v>13</v>
      </c>
      <c r="B9" s="4">
        <v>16563</v>
      </c>
      <c r="C9" s="4">
        <v>1697</v>
      </c>
      <c r="D9" s="3">
        <f t="shared" si="0"/>
        <v>0.10245728430839823</v>
      </c>
      <c r="E9" s="1" t="s">
        <v>9</v>
      </c>
    </row>
    <row r="10" spans="1:5" outlineLevel="2" x14ac:dyDescent="0.2">
      <c r="A10" s="1" t="s">
        <v>14</v>
      </c>
      <c r="B10" s="4">
        <v>14134</v>
      </c>
      <c r="C10" s="4">
        <v>-677</v>
      </c>
      <c r="D10" s="3">
        <f t="shared" si="0"/>
        <v>-4.7898684024338473E-2</v>
      </c>
      <c r="E10" s="1" t="s">
        <v>9</v>
      </c>
    </row>
    <row r="11" spans="1:5" outlineLevel="2" x14ac:dyDescent="0.2">
      <c r="A11" s="1" t="s">
        <v>15</v>
      </c>
      <c r="B11" s="4">
        <v>13233</v>
      </c>
      <c r="C11" s="4">
        <v>245</v>
      </c>
      <c r="D11" s="3">
        <f t="shared" si="0"/>
        <v>1.8514320259956168E-2</v>
      </c>
      <c r="E11" s="1" t="s">
        <v>9</v>
      </c>
    </row>
    <row r="12" spans="1:5" outlineLevel="2" x14ac:dyDescent="0.2">
      <c r="A12" s="1" t="s">
        <v>16</v>
      </c>
      <c r="B12" s="4">
        <v>13014</v>
      </c>
      <c r="C12" s="4">
        <v>694</v>
      </c>
      <c r="D12" s="3">
        <f t="shared" si="0"/>
        <v>5.3327186107269095E-2</v>
      </c>
      <c r="E12" s="1" t="s">
        <v>9</v>
      </c>
    </row>
    <row r="13" spans="1:5" outlineLevel="2" x14ac:dyDescent="0.2">
      <c r="A13" s="1" t="s">
        <v>17</v>
      </c>
      <c r="B13" s="4">
        <v>9523</v>
      </c>
      <c r="C13" s="4">
        <v>890</v>
      </c>
      <c r="D13" s="3">
        <f t="shared" si="0"/>
        <v>9.3457943925233641E-2</v>
      </c>
      <c r="E13" s="1" t="s">
        <v>9</v>
      </c>
    </row>
    <row r="14" spans="1:5" outlineLevel="2" x14ac:dyDescent="0.2">
      <c r="A14" s="1" t="s">
        <v>18</v>
      </c>
      <c r="B14" s="4">
        <v>7961</v>
      </c>
      <c r="C14" s="4">
        <v>563</v>
      </c>
      <c r="D14" s="3">
        <f t="shared" si="0"/>
        <v>7.0719758824268314E-2</v>
      </c>
      <c r="E14" s="1" t="s">
        <v>9</v>
      </c>
    </row>
    <row r="15" spans="1:5" outlineLevel="2" x14ac:dyDescent="0.2">
      <c r="A15" s="1" t="s">
        <v>19</v>
      </c>
      <c r="B15" s="4">
        <v>7811</v>
      </c>
      <c r="C15" s="4">
        <v>689</v>
      </c>
      <c r="D15" s="3">
        <f t="shared" si="0"/>
        <v>8.8208936115734216E-2</v>
      </c>
      <c r="E15" s="1" t="s">
        <v>9</v>
      </c>
    </row>
    <row r="16" spans="1:5" outlineLevel="2" x14ac:dyDescent="0.2">
      <c r="A16" s="1" t="s">
        <v>20</v>
      </c>
      <c r="B16" s="4">
        <v>7710</v>
      </c>
      <c r="C16" s="4">
        <v>120</v>
      </c>
      <c r="D16" s="3">
        <f t="shared" si="0"/>
        <v>1.556420233463035E-2</v>
      </c>
      <c r="E16" s="1" t="s">
        <v>9</v>
      </c>
    </row>
    <row r="17" spans="1:5" outlineLevel="2" x14ac:dyDescent="0.2">
      <c r="A17" s="1" t="s">
        <v>21</v>
      </c>
      <c r="B17" s="4">
        <v>7440</v>
      </c>
      <c r="C17" s="4">
        <v>720</v>
      </c>
      <c r="D17" s="3">
        <f t="shared" si="0"/>
        <v>9.6774193548387094E-2</v>
      </c>
      <c r="E17" s="1" t="s">
        <v>9</v>
      </c>
    </row>
    <row r="18" spans="1:5" outlineLevel="2" x14ac:dyDescent="0.2">
      <c r="A18" s="1" t="s">
        <v>22</v>
      </c>
      <c r="B18" s="4">
        <v>6175</v>
      </c>
      <c r="C18" s="4">
        <v>-229</v>
      </c>
      <c r="D18" s="3">
        <f t="shared" si="0"/>
        <v>-3.7085020242914983E-2</v>
      </c>
      <c r="E18" s="1" t="s">
        <v>9</v>
      </c>
    </row>
    <row r="19" spans="1:5" outlineLevel="1" x14ac:dyDescent="0.2">
      <c r="B19" s="4">
        <f>SUBTOTAL(9,B6:B18)</f>
        <v>218763</v>
      </c>
      <c r="C19" s="4">
        <f>SUBTOTAL(9,C6:C18)</f>
        <v>16332</v>
      </c>
      <c r="D19" s="3">
        <f t="shared" si="0"/>
        <v>7.4656134721136566E-2</v>
      </c>
      <c r="E19" s="5" t="s">
        <v>47</v>
      </c>
    </row>
    <row r="20" spans="1:5" outlineLevel="2" x14ac:dyDescent="0.2">
      <c r="A20" s="1" t="s">
        <v>24</v>
      </c>
      <c r="B20" s="4">
        <v>71726</v>
      </c>
      <c r="C20" s="4">
        <v>10508</v>
      </c>
      <c r="D20" s="3">
        <f t="shared" si="0"/>
        <v>0.14650196581434904</v>
      </c>
      <c r="E20" s="1" t="s">
        <v>23</v>
      </c>
    </row>
    <row r="21" spans="1:5" outlineLevel="2" x14ac:dyDescent="0.2">
      <c r="A21" s="1" t="s">
        <v>25</v>
      </c>
      <c r="B21" s="4">
        <v>18202</v>
      </c>
      <c r="C21" s="4">
        <v>2166</v>
      </c>
      <c r="D21" s="3">
        <f t="shared" si="0"/>
        <v>0.11899791231732777</v>
      </c>
      <c r="E21" s="1" t="s">
        <v>23</v>
      </c>
    </row>
    <row r="22" spans="1:5" outlineLevel="2" x14ac:dyDescent="0.2">
      <c r="A22" s="1" t="s">
        <v>26</v>
      </c>
      <c r="B22" s="4">
        <v>15195</v>
      </c>
      <c r="C22" s="4">
        <v>2441</v>
      </c>
      <c r="D22" s="3">
        <f t="shared" si="0"/>
        <v>0.16064494899638038</v>
      </c>
      <c r="E22" s="1" t="s">
        <v>23</v>
      </c>
    </row>
    <row r="23" spans="1:5" outlineLevel="2" x14ac:dyDescent="0.2">
      <c r="A23" s="1" t="s">
        <v>27</v>
      </c>
      <c r="B23" s="4">
        <v>11262</v>
      </c>
      <c r="C23" s="4">
        <v>1115</v>
      </c>
      <c r="D23" s="3">
        <f t="shared" si="0"/>
        <v>9.9005505238856331E-2</v>
      </c>
      <c r="E23" s="1" t="s">
        <v>23</v>
      </c>
    </row>
    <row r="24" spans="1:5" outlineLevel="2" x14ac:dyDescent="0.2">
      <c r="A24" s="1" t="s">
        <v>28</v>
      </c>
      <c r="B24" s="4">
        <v>6403</v>
      </c>
      <c r="C24" s="4">
        <v>-199</v>
      </c>
      <c r="D24" s="3">
        <f t="shared" si="0"/>
        <v>-3.1079181633609246E-2</v>
      </c>
      <c r="E24" s="1" t="s">
        <v>23</v>
      </c>
    </row>
    <row r="25" spans="1:5" outlineLevel="2" x14ac:dyDescent="0.2">
      <c r="A25" s="1" t="s">
        <v>29</v>
      </c>
      <c r="B25" s="4">
        <v>5853</v>
      </c>
      <c r="C25" s="4">
        <v>-108</v>
      </c>
      <c r="D25" s="3">
        <f t="shared" si="0"/>
        <v>-1.8452075858534086E-2</v>
      </c>
      <c r="E25" s="1" t="s">
        <v>23</v>
      </c>
    </row>
    <row r="26" spans="1:5" outlineLevel="2" x14ac:dyDescent="0.2">
      <c r="A26" s="1" t="s">
        <v>30</v>
      </c>
      <c r="B26" s="4">
        <v>5761</v>
      </c>
      <c r="C26" s="4">
        <v>648</v>
      </c>
      <c r="D26" s="3">
        <f t="shared" si="0"/>
        <v>0.11248047214025343</v>
      </c>
      <c r="E26" s="1" t="s">
        <v>23</v>
      </c>
    </row>
    <row r="27" spans="1:5" outlineLevel="1" x14ac:dyDescent="0.2">
      <c r="B27" s="4">
        <f>SUBTOTAL(9,B20:B26)</f>
        <v>134402</v>
      </c>
      <c r="C27" s="4">
        <f>SUBTOTAL(9,C20:C26)</f>
        <v>16571</v>
      </c>
      <c r="D27" s="3">
        <f t="shared" si="0"/>
        <v>0.12329429621583012</v>
      </c>
      <c r="E27" s="5" t="s">
        <v>48</v>
      </c>
    </row>
    <row r="28" spans="1:5" outlineLevel="2" x14ac:dyDescent="0.2">
      <c r="A28" s="1" t="s">
        <v>32</v>
      </c>
      <c r="B28" s="4">
        <v>71890</v>
      </c>
      <c r="C28" s="4">
        <v>18540</v>
      </c>
      <c r="D28" s="3">
        <f t="shared" si="0"/>
        <v>0.25789400472944779</v>
      </c>
      <c r="E28" s="1" t="s">
        <v>31</v>
      </c>
    </row>
    <row r="29" spans="1:5" outlineLevel="2" x14ac:dyDescent="0.2">
      <c r="A29" s="1" t="s">
        <v>33</v>
      </c>
      <c r="B29" s="4">
        <v>52824</v>
      </c>
      <c r="C29" s="4">
        <v>7215</v>
      </c>
      <c r="D29" s="3">
        <f t="shared" si="0"/>
        <v>0.13658564288959563</v>
      </c>
      <c r="E29" s="1" t="s">
        <v>31</v>
      </c>
    </row>
    <row r="30" spans="1:5" outlineLevel="2" x14ac:dyDescent="0.2">
      <c r="A30" s="1" t="s">
        <v>34</v>
      </c>
      <c r="B30" s="4">
        <v>39807</v>
      </c>
      <c r="C30" s="4">
        <v>3920</v>
      </c>
      <c r="D30" s="3">
        <f t="shared" si="0"/>
        <v>9.8475142562865825E-2</v>
      </c>
      <c r="E30" s="1" t="s">
        <v>31</v>
      </c>
    </row>
    <row r="31" spans="1:5" outlineLevel="2" x14ac:dyDescent="0.2">
      <c r="A31" s="1" t="s">
        <v>35</v>
      </c>
      <c r="B31" s="4">
        <v>30390</v>
      </c>
      <c r="C31" s="4">
        <v>13501</v>
      </c>
      <c r="D31" s="3">
        <f t="shared" si="0"/>
        <v>0.44425797959855218</v>
      </c>
      <c r="E31" s="1" t="s">
        <v>31</v>
      </c>
    </row>
    <row r="32" spans="1:5" outlineLevel="2" x14ac:dyDescent="0.2">
      <c r="A32" s="1" t="s">
        <v>36</v>
      </c>
      <c r="B32" s="4">
        <v>25638</v>
      </c>
      <c r="C32" s="4">
        <v>5953</v>
      </c>
      <c r="D32" s="3">
        <f t="shared" si="0"/>
        <v>0.23219439893907481</v>
      </c>
      <c r="E32" s="1" t="s">
        <v>31</v>
      </c>
    </row>
    <row r="33" spans="1:5" outlineLevel="2" x14ac:dyDescent="0.2">
      <c r="A33" s="1" t="s">
        <v>37</v>
      </c>
      <c r="B33" s="4">
        <v>22991</v>
      </c>
      <c r="C33" s="4">
        <v>7722</v>
      </c>
      <c r="D33" s="3">
        <f t="shared" si="0"/>
        <v>0.33587055804445215</v>
      </c>
      <c r="E33" s="1" t="s">
        <v>31</v>
      </c>
    </row>
    <row r="34" spans="1:5" outlineLevel="2" x14ac:dyDescent="0.2">
      <c r="A34" s="1" t="s">
        <v>38</v>
      </c>
      <c r="B34" s="4">
        <v>21222</v>
      </c>
      <c r="C34" s="4">
        <v>2738</v>
      </c>
      <c r="D34" s="3">
        <f t="shared" si="0"/>
        <v>0.12901705777023842</v>
      </c>
      <c r="E34" s="1" t="s">
        <v>31</v>
      </c>
    </row>
    <row r="35" spans="1:5" outlineLevel="2" x14ac:dyDescent="0.2">
      <c r="A35" s="1" t="s">
        <v>39</v>
      </c>
      <c r="B35" s="4">
        <v>19427</v>
      </c>
      <c r="C35" s="4">
        <v>4457</v>
      </c>
      <c r="D35" s="3">
        <f t="shared" si="0"/>
        <v>0.22942296803417925</v>
      </c>
      <c r="E35" s="1" t="s">
        <v>31</v>
      </c>
    </row>
    <row r="36" spans="1:5" outlineLevel="2" x14ac:dyDescent="0.2">
      <c r="A36" s="1" t="s">
        <v>40</v>
      </c>
      <c r="B36" s="4">
        <v>11449</v>
      </c>
      <c r="C36" s="4">
        <v>3703</v>
      </c>
      <c r="D36" s="3">
        <f t="shared" si="0"/>
        <v>0.32343436107957024</v>
      </c>
      <c r="E36" s="1" t="s">
        <v>31</v>
      </c>
    </row>
    <row r="37" spans="1:5" outlineLevel="2" x14ac:dyDescent="0.2">
      <c r="A37" s="1" t="s">
        <v>41</v>
      </c>
      <c r="B37" s="4">
        <v>11229</v>
      </c>
      <c r="C37" s="4">
        <v>1999</v>
      </c>
      <c r="D37" s="3">
        <f t="shared" si="0"/>
        <v>0.17802119511977915</v>
      </c>
      <c r="E37" s="1" t="s">
        <v>31</v>
      </c>
    </row>
    <row r="38" spans="1:5" outlineLevel="1" x14ac:dyDescent="0.2">
      <c r="B38" s="4">
        <f>SUBTOTAL(9,B28:B37)</f>
        <v>306867</v>
      </c>
      <c r="C38" s="4">
        <f>SUBTOTAL(9,C28:C37)</f>
        <v>69748</v>
      </c>
      <c r="D38" s="3">
        <f t="shared" si="0"/>
        <v>0.22729065034689294</v>
      </c>
      <c r="E38" s="5" t="s">
        <v>49</v>
      </c>
    </row>
    <row r="39" spans="1:5" outlineLevel="2" x14ac:dyDescent="0.2">
      <c r="A39" s="1" t="s">
        <v>43</v>
      </c>
      <c r="B39" s="4">
        <v>26685</v>
      </c>
      <c r="C39" s="4">
        <v>6967</v>
      </c>
      <c r="D39" s="3">
        <f t="shared" si="0"/>
        <v>0.26108300543376428</v>
      </c>
      <c r="E39" s="1" t="s">
        <v>42</v>
      </c>
    </row>
    <row r="40" spans="1:5" outlineLevel="2" x14ac:dyDescent="0.2">
      <c r="A40" s="1" t="s">
        <v>44</v>
      </c>
      <c r="B40" s="4">
        <v>19337</v>
      </c>
      <c r="C40" s="4">
        <v>14239</v>
      </c>
      <c r="D40" s="3">
        <f t="shared" si="0"/>
        <v>0.73636034545172468</v>
      </c>
      <c r="E40" s="1" t="s">
        <v>42</v>
      </c>
    </row>
    <row r="41" spans="1:5" outlineLevel="2" x14ac:dyDescent="0.2">
      <c r="A41" s="1" t="s">
        <v>45</v>
      </c>
      <c r="B41" s="4">
        <v>12503</v>
      </c>
      <c r="C41" s="4">
        <v>6073</v>
      </c>
      <c r="D41" s="3">
        <f t="shared" si="0"/>
        <v>0.48572342637766935</v>
      </c>
      <c r="E41" s="1" t="s">
        <v>42</v>
      </c>
    </row>
    <row r="42" spans="1:5" outlineLevel="1" x14ac:dyDescent="0.2">
      <c r="B42" s="4">
        <f>SUBTOTAL(9,B39:B41)</f>
        <v>58525</v>
      </c>
      <c r="C42" s="4">
        <f>SUBTOTAL(9,C39:C41)</f>
        <v>27279</v>
      </c>
      <c r="D42" s="3">
        <f t="shared" si="0"/>
        <v>0.46610850064075182</v>
      </c>
      <c r="E42" s="5" t="s">
        <v>50</v>
      </c>
    </row>
    <row r="43" spans="1:5" outlineLevel="1" x14ac:dyDescent="0.2"/>
    <row r="44" spans="1:5" outlineLevel="1" x14ac:dyDescent="0.2"/>
    <row r="45" spans="1:5" outlineLevel="1" x14ac:dyDescent="0.2">
      <c r="B45" s="4">
        <f>SUBTOTAL(9,B2:B44)</f>
        <v>773408</v>
      </c>
      <c r="C45" s="4">
        <f>SUBTOTAL(9,C2:C44)</f>
        <v>138359</v>
      </c>
      <c r="D45" s="3">
        <f>+C45/B45</f>
        <v>0.1788952273573586</v>
      </c>
      <c r="E45" s="5" t="s">
        <v>51</v>
      </c>
    </row>
  </sheetData>
  <sortState xmlns:xlrd2="http://schemas.microsoft.com/office/spreadsheetml/2017/richdata2" ref="A2:E43">
    <sortCondition ref="E2:E43"/>
  </sortState>
  <printOptions gridLines="1"/>
  <pageMargins left="0.7" right="0.7" top="0.75" bottom="0.75" header="0.3" footer="0.3"/>
  <pageSetup scale="69" orientation="portrait" horizontalDpi="0" verticalDpi="0" r:id="rId1"/>
  <headerFooter>
    <oddHeader>&amp;C&amp;A
&amp;F</oddHeader>
    <oddFooter>&amp;R&amp;D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A1:E37"/>
  <sheetViews>
    <sheetView workbookViewId="0">
      <selection sqref="A1:XFD1048576"/>
    </sheetView>
  </sheetViews>
  <sheetFormatPr baseColWidth="10" defaultColWidth="8.83203125" defaultRowHeight="15" x14ac:dyDescent="0.2"/>
  <cols>
    <col min="1" max="1" width="27.1640625" style="1" customWidth="1"/>
    <col min="2" max="2" width="24.5" style="4" customWidth="1"/>
    <col min="3" max="3" width="21.5" style="4" customWidth="1"/>
    <col min="4" max="4" width="25" style="2" customWidth="1"/>
    <col min="5" max="5" width="32.33203125" style="1" customWidth="1"/>
  </cols>
  <sheetData>
    <row r="1" spans="1:5" x14ac:dyDescent="0.2">
      <c r="A1" s="1" t="s">
        <v>0</v>
      </c>
      <c r="B1" s="4" t="s">
        <v>1</v>
      </c>
      <c r="C1" s="4" t="s">
        <v>2</v>
      </c>
      <c r="D1" s="2" t="s">
        <v>3</v>
      </c>
      <c r="E1" s="1" t="s">
        <v>4</v>
      </c>
    </row>
    <row r="2" spans="1:5" x14ac:dyDescent="0.2">
      <c r="A2" s="1" t="s">
        <v>36</v>
      </c>
      <c r="B2" s="4">
        <v>25638</v>
      </c>
      <c r="C2" s="4">
        <v>5953</v>
      </c>
      <c r="D2" s="3">
        <f t="shared" ref="D2:D37" si="0">+C2/B2</f>
        <v>0.23219439893907481</v>
      </c>
      <c r="E2" s="1" t="s">
        <v>31</v>
      </c>
    </row>
    <row r="3" spans="1:5" x14ac:dyDescent="0.2">
      <c r="A3" s="1" t="s">
        <v>44</v>
      </c>
      <c r="B3" s="4">
        <v>19337</v>
      </c>
      <c r="C3" s="4">
        <v>14239</v>
      </c>
      <c r="D3" s="3">
        <f t="shared" si="0"/>
        <v>0.73636034545172468</v>
      </c>
      <c r="E3" s="1" t="s">
        <v>42</v>
      </c>
    </row>
    <row r="4" spans="1:5" x14ac:dyDescent="0.2">
      <c r="A4" s="1" t="s">
        <v>37</v>
      </c>
      <c r="B4" s="4">
        <v>22991</v>
      </c>
      <c r="C4" s="4">
        <v>7722</v>
      </c>
      <c r="D4" s="3">
        <f t="shared" si="0"/>
        <v>0.33587055804445215</v>
      </c>
      <c r="E4" s="1" t="s">
        <v>31</v>
      </c>
    </row>
    <row r="5" spans="1:5" x14ac:dyDescent="0.2">
      <c r="A5" s="1" t="s">
        <v>29</v>
      </c>
      <c r="B5" s="4">
        <v>5853</v>
      </c>
      <c r="C5" s="4">
        <v>-108</v>
      </c>
      <c r="D5" s="3">
        <f t="shared" si="0"/>
        <v>-1.8452075858534086E-2</v>
      </c>
      <c r="E5" s="1" t="s">
        <v>23</v>
      </c>
    </row>
    <row r="6" spans="1:5" x14ac:dyDescent="0.2">
      <c r="A6" s="1" t="s">
        <v>40</v>
      </c>
      <c r="B6" s="4">
        <v>11449</v>
      </c>
      <c r="C6" s="4">
        <v>3703</v>
      </c>
      <c r="D6" s="3">
        <f t="shared" si="0"/>
        <v>0.32343436107957024</v>
      </c>
      <c r="E6" s="1" t="s">
        <v>31</v>
      </c>
    </row>
    <row r="7" spans="1:5" x14ac:dyDescent="0.2">
      <c r="A7" s="1" t="s">
        <v>39</v>
      </c>
      <c r="B7" s="4">
        <v>19427</v>
      </c>
      <c r="C7" s="4">
        <v>4457</v>
      </c>
      <c r="D7" s="3">
        <f t="shared" si="0"/>
        <v>0.22942296803417925</v>
      </c>
      <c r="E7" s="1" t="s">
        <v>31</v>
      </c>
    </row>
    <row r="8" spans="1:5" x14ac:dyDescent="0.2">
      <c r="A8" s="1" t="s">
        <v>18</v>
      </c>
      <c r="B8" s="4">
        <v>7961</v>
      </c>
      <c r="C8" s="4">
        <v>563</v>
      </c>
      <c r="D8" s="3">
        <f t="shared" si="0"/>
        <v>7.0719758824268314E-2</v>
      </c>
      <c r="E8" s="1" t="s">
        <v>9</v>
      </c>
    </row>
    <row r="9" spans="1:5" x14ac:dyDescent="0.2">
      <c r="A9" s="1" t="s">
        <v>41</v>
      </c>
      <c r="B9" s="4">
        <v>11229</v>
      </c>
      <c r="C9" s="4">
        <v>1999</v>
      </c>
      <c r="D9" s="3">
        <f t="shared" si="0"/>
        <v>0.17802119511977915</v>
      </c>
      <c r="E9" s="1" t="s">
        <v>31</v>
      </c>
    </row>
    <row r="10" spans="1:5" x14ac:dyDescent="0.2">
      <c r="A10" s="1" t="s">
        <v>30</v>
      </c>
      <c r="B10" s="4">
        <v>5761</v>
      </c>
      <c r="C10" s="4">
        <v>648</v>
      </c>
      <c r="D10" s="3">
        <f t="shared" si="0"/>
        <v>0.11248047214025343</v>
      </c>
      <c r="E10" s="1" t="s">
        <v>23</v>
      </c>
    </row>
    <row r="11" spans="1:5" x14ac:dyDescent="0.2">
      <c r="A11" s="1" t="s">
        <v>6</v>
      </c>
      <c r="B11" s="4">
        <v>41863</v>
      </c>
      <c r="C11" s="4">
        <v>6527</v>
      </c>
      <c r="D11" s="3">
        <f t="shared" si="0"/>
        <v>0.15591333635907603</v>
      </c>
      <c r="E11" s="1" t="s">
        <v>5</v>
      </c>
    </row>
    <row r="12" spans="1:5" x14ac:dyDescent="0.2">
      <c r="A12" s="1" t="s">
        <v>26</v>
      </c>
      <c r="B12" s="4">
        <v>15195</v>
      </c>
      <c r="C12" s="4">
        <v>2441</v>
      </c>
      <c r="D12" s="3">
        <f t="shared" si="0"/>
        <v>0.16064494899638038</v>
      </c>
      <c r="E12" s="1" t="s">
        <v>23</v>
      </c>
    </row>
    <row r="13" spans="1:5" x14ac:dyDescent="0.2">
      <c r="A13" s="1" t="s">
        <v>14</v>
      </c>
      <c r="B13" s="4">
        <v>14134</v>
      </c>
      <c r="C13" s="4">
        <v>-677</v>
      </c>
      <c r="D13" s="3">
        <f t="shared" si="0"/>
        <v>-4.7898684024338473E-2</v>
      </c>
      <c r="E13" s="1" t="s">
        <v>9</v>
      </c>
    </row>
    <row r="14" spans="1:5" x14ac:dyDescent="0.2">
      <c r="A14" s="1" t="s">
        <v>7</v>
      </c>
      <c r="B14" s="4">
        <v>6548</v>
      </c>
      <c r="C14" s="4">
        <v>1055</v>
      </c>
      <c r="D14" s="3">
        <f t="shared" si="0"/>
        <v>0.16111789859499084</v>
      </c>
      <c r="E14" s="1" t="s">
        <v>5</v>
      </c>
    </row>
    <row r="15" spans="1:5" x14ac:dyDescent="0.2">
      <c r="A15" s="1" t="s">
        <v>20</v>
      </c>
      <c r="B15" s="4">
        <v>7710</v>
      </c>
      <c r="C15" s="4">
        <v>120</v>
      </c>
      <c r="D15" s="3">
        <f t="shared" si="0"/>
        <v>1.556420233463035E-2</v>
      </c>
      <c r="E15" s="1" t="s">
        <v>9</v>
      </c>
    </row>
    <row r="16" spans="1:5" x14ac:dyDescent="0.2">
      <c r="A16" s="1" t="s">
        <v>8</v>
      </c>
      <c r="B16" s="4">
        <v>6440</v>
      </c>
      <c r="C16" s="4">
        <v>847</v>
      </c>
      <c r="D16" s="3">
        <f t="shared" si="0"/>
        <v>0.13152173913043477</v>
      </c>
      <c r="E16" s="1" t="s">
        <v>5</v>
      </c>
    </row>
    <row r="17" spans="1:5" x14ac:dyDescent="0.2">
      <c r="A17" s="1" t="s">
        <v>38</v>
      </c>
      <c r="B17" s="4">
        <v>21222</v>
      </c>
      <c r="C17" s="4">
        <v>2738</v>
      </c>
      <c r="D17" s="3">
        <f t="shared" si="0"/>
        <v>0.12901705777023842</v>
      </c>
      <c r="E17" s="1" t="s">
        <v>31</v>
      </c>
    </row>
    <row r="18" spans="1:5" x14ac:dyDescent="0.2">
      <c r="A18" s="1" t="s">
        <v>27</v>
      </c>
      <c r="B18" s="4">
        <v>11262</v>
      </c>
      <c r="C18" s="4">
        <v>1115</v>
      </c>
      <c r="D18" s="3">
        <f t="shared" si="0"/>
        <v>9.9005505238856331E-2</v>
      </c>
      <c r="E18" s="1" t="s">
        <v>23</v>
      </c>
    </row>
    <row r="19" spans="1:5" x14ac:dyDescent="0.2">
      <c r="A19" s="1" t="s">
        <v>13</v>
      </c>
      <c r="B19" s="4">
        <v>16563</v>
      </c>
      <c r="C19" s="4">
        <v>1697</v>
      </c>
      <c r="D19" s="3">
        <f t="shared" si="0"/>
        <v>0.10245728430839823</v>
      </c>
      <c r="E19" s="1" t="s">
        <v>9</v>
      </c>
    </row>
    <row r="20" spans="1:5" x14ac:dyDescent="0.2">
      <c r="A20" s="1" t="s">
        <v>35</v>
      </c>
      <c r="B20" s="4">
        <v>30390</v>
      </c>
      <c r="C20" s="4">
        <v>13501</v>
      </c>
      <c r="D20" s="3">
        <f t="shared" si="0"/>
        <v>0.44425797959855218</v>
      </c>
      <c r="E20" s="1" t="s">
        <v>31</v>
      </c>
    </row>
    <row r="21" spans="1:5" x14ac:dyDescent="0.2">
      <c r="A21" s="1" t="s">
        <v>21</v>
      </c>
      <c r="B21" s="4">
        <v>7440</v>
      </c>
      <c r="C21" s="4">
        <v>720</v>
      </c>
      <c r="D21" s="3">
        <f t="shared" si="0"/>
        <v>9.6774193548387094E-2</v>
      </c>
      <c r="E21" s="1" t="s">
        <v>9</v>
      </c>
    </row>
    <row r="22" spans="1:5" x14ac:dyDescent="0.2">
      <c r="A22" s="1" t="s">
        <v>17</v>
      </c>
      <c r="B22" s="4">
        <v>9523</v>
      </c>
      <c r="C22" s="4">
        <v>890</v>
      </c>
      <c r="D22" s="3">
        <f t="shared" si="0"/>
        <v>9.3457943925233641E-2</v>
      </c>
      <c r="E22" s="1" t="s">
        <v>9</v>
      </c>
    </row>
    <row r="23" spans="1:5" x14ac:dyDescent="0.2">
      <c r="A23" s="1" t="s">
        <v>28</v>
      </c>
      <c r="B23" s="4">
        <v>6403</v>
      </c>
      <c r="C23" s="4">
        <v>-199</v>
      </c>
      <c r="D23" s="3">
        <f t="shared" si="0"/>
        <v>-3.1079181633609246E-2</v>
      </c>
      <c r="E23" s="1" t="s">
        <v>23</v>
      </c>
    </row>
    <row r="24" spans="1:5" x14ac:dyDescent="0.2">
      <c r="A24" s="1" t="s">
        <v>19</v>
      </c>
      <c r="B24" s="4">
        <v>7811</v>
      </c>
      <c r="C24" s="4">
        <v>689</v>
      </c>
      <c r="D24" s="3">
        <f t="shared" si="0"/>
        <v>8.8208936115734216E-2</v>
      </c>
      <c r="E24" s="1" t="s">
        <v>9</v>
      </c>
    </row>
    <row r="25" spans="1:5" x14ac:dyDescent="0.2">
      <c r="A25" s="1" t="s">
        <v>32</v>
      </c>
      <c r="B25" s="4">
        <v>71890</v>
      </c>
      <c r="C25" s="4">
        <v>18540</v>
      </c>
      <c r="D25" s="3">
        <f t="shared" si="0"/>
        <v>0.25789400472944779</v>
      </c>
      <c r="E25" s="1" t="s">
        <v>31</v>
      </c>
    </row>
    <row r="26" spans="1:5" x14ac:dyDescent="0.2">
      <c r="A26" s="1" t="s">
        <v>16</v>
      </c>
      <c r="B26" s="4">
        <v>13014</v>
      </c>
      <c r="C26" s="4">
        <v>694</v>
      </c>
      <c r="D26" s="3">
        <f t="shared" si="0"/>
        <v>5.3327186107269095E-2</v>
      </c>
      <c r="E26" s="1" t="s">
        <v>9</v>
      </c>
    </row>
    <row r="27" spans="1:5" x14ac:dyDescent="0.2">
      <c r="A27" s="1" t="s">
        <v>25</v>
      </c>
      <c r="B27" s="4">
        <v>18202</v>
      </c>
      <c r="C27" s="4">
        <v>2166</v>
      </c>
      <c r="D27" s="3">
        <f t="shared" si="0"/>
        <v>0.11899791231732777</v>
      </c>
      <c r="E27" s="1" t="s">
        <v>23</v>
      </c>
    </row>
    <row r="28" spans="1:5" x14ac:dyDescent="0.2">
      <c r="A28" s="1" t="s">
        <v>11</v>
      </c>
      <c r="B28" s="4">
        <v>26487</v>
      </c>
      <c r="C28" s="4">
        <v>3632</v>
      </c>
      <c r="D28" s="3">
        <f t="shared" si="0"/>
        <v>0.13712387208819421</v>
      </c>
      <c r="E28" s="1" t="s">
        <v>9</v>
      </c>
    </row>
    <row r="29" spans="1:5" x14ac:dyDescent="0.2">
      <c r="A29" s="1" t="s">
        <v>15</v>
      </c>
      <c r="B29" s="4">
        <v>13233</v>
      </c>
      <c r="C29" s="4">
        <v>245</v>
      </c>
      <c r="D29" s="3">
        <f t="shared" si="0"/>
        <v>1.8514320259956168E-2</v>
      </c>
      <c r="E29" s="1" t="s">
        <v>9</v>
      </c>
    </row>
    <row r="30" spans="1:5" x14ac:dyDescent="0.2">
      <c r="A30" s="1" t="s">
        <v>34</v>
      </c>
      <c r="B30" s="4">
        <v>39807</v>
      </c>
      <c r="C30" s="4">
        <v>3920</v>
      </c>
      <c r="D30" s="3">
        <f t="shared" si="0"/>
        <v>9.8475142562865825E-2</v>
      </c>
      <c r="E30" s="1" t="s">
        <v>31</v>
      </c>
    </row>
    <row r="31" spans="1:5" x14ac:dyDescent="0.2">
      <c r="A31" s="1" t="s">
        <v>12</v>
      </c>
      <c r="B31" s="4">
        <v>25923</v>
      </c>
      <c r="C31" s="4">
        <v>1659</v>
      </c>
      <c r="D31" s="3">
        <f t="shared" si="0"/>
        <v>6.3997222543687074E-2</v>
      </c>
      <c r="E31" s="1" t="s">
        <v>9</v>
      </c>
    </row>
    <row r="32" spans="1:5" x14ac:dyDescent="0.2">
      <c r="A32" s="1" t="s">
        <v>10</v>
      </c>
      <c r="B32" s="4">
        <v>62789</v>
      </c>
      <c r="C32" s="4">
        <v>6329</v>
      </c>
      <c r="D32" s="3">
        <f t="shared" si="0"/>
        <v>0.1007979104620236</v>
      </c>
      <c r="E32" s="1" t="s">
        <v>9</v>
      </c>
    </row>
    <row r="33" spans="1:5" x14ac:dyDescent="0.2">
      <c r="A33" s="1" t="s">
        <v>33</v>
      </c>
      <c r="B33" s="4">
        <v>52824</v>
      </c>
      <c r="C33" s="4">
        <v>7215</v>
      </c>
      <c r="D33" s="3">
        <f t="shared" si="0"/>
        <v>0.13658564288959563</v>
      </c>
      <c r="E33" s="1" t="s">
        <v>31</v>
      </c>
    </row>
    <row r="34" spans="1:5" x14ac:dyDescent="0.2">
      <c r="A34" s="1" t="s">
        <v>43</v>
      </c>
      <c r="B34" s="4">
        <v>26685</v>
      </c>
      <c r="C34" s="4">
        <v>6967</v>
      </c>
      <c r="D34" s="3">
        <f t="shared" si="0"/>
        <v>0.26108300543376428</v>
      </c>
      <c r="E34" s="1" t="s">
        <v>42</v>
      </c>
    </row>
    <row r="35" spans="1:5" x14ac:dyDescent="0.2">
      <c r="A35" s="1" t="s">
        <v>24</v>
      </c>
      <c r="B35" s="4">
        <v>71726</v>
      </c>
      <c r="C35" s="4">
        <v>10508</v>
      </c>
      <c r="D35" s="3">
        <f t="shared" si="0"/>
        <v>0.14650196581434904</v>
      </c>
      <c r="E35" s="1" t="s">
        <v>23</v>
      </c>
    </row>
    <row r="36" spans="1:5" x14ac:dyDescent="0.2">
      <c r="A36" s="1" t="s">
        <v>45</v>
      </c>
      <c r="B36" s="4">
        <v>12503</v>
      </c>
      <c r="C36" s="4">
        <v>6073</v>
      </c>
      <c r="D36" s="3">
        <f t="shared" si="0"/>
        <v>0.48572342637766935</v>
      </c>
      <c r="E36" s="1" t="s">
        <v>42</v>
      </c>
    </row>
    <row r="37" spans="1:5" x14ac:dyDescent="0.2">
      <c r="A37" s="1" t="s">
        <v>22</v>
      </c>
      <c r="B37" s="4">
        <v>6175</v>
      </c>
      <c r="C37" s="4">
        <v>-229</v>
      </c>
      <c r="D37" s="3">
        <f t="shared" si="0"/>
        <v>-3.7085020242914983E-2</v>
      </c>
      <c r="E37" s="1" t="s">
        <v>9</v>
      </c>
    </row>
  </sheetData>
  <sortState xmlns:xlrd2="http://schemas.microsoft.com/office/spreadsheetml/2017/richdata2" ref="A2:E38">
    <sortCondition ref="A2:A38"/>
  </sortState>
  <printOptions gridLines="1"/>
  <pageMargins left="0.7" right="0.7" top="0.75" bottom="0.75" header="0.3" footer="0.3"/>
  <pageSetup scale="69" orientation="portrait" horizontalDpi="0" verticalDpi="0" r:id="rId1"/>
  <headerFooter>
    <oddHeader>&amp;C&amp;A
&amp;F</oddHeader>
    <oddFooter>&amp;R&amp;D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Ranked by Size</vt:lpstr>
      <vt:lpstr>Ranked by Profits</vt:lpstr>
      <vt:lpstr>Ranked by Profit % of Revenues</vt:lpstr>
      <vt:lpstr>By Category with Subtotals</vt:lpstr>
      <vt:lpstr>Alphabetical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Gary</dc:creator>
  <cp:lastModifiedBy>Microsoft Office User</cp:lastModifiedBy>
  <dcterms:created xsi:type="dcterms:W3CDTF">2017-08-09T22:01:47Z</dcterms:created>
  <dcterms:modified xsi:type="dcterms:W3CDTF">2021-01-24T00:39:54Z</dcterms:modified>
</cp:coreProperties>
</file>